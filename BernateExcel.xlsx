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bbernate\My Documents\"/>
    </mc:Choice>
  </mc:AlternateContent>
  <xr:revisionPtr revIDLastSave="0" documentId="8_{8EE95ED1-6ED0-42F8-93BC-7E5008887AC9}" xr6:coauthVersionLast="47" xr6:coauthVersionMax="47" xr10:uidLastSave="{00000000-0000-0000-0000-000000000000}"/>
  <bookViews>
    <workbookView xWindow="-120" yWindow="-120" windowWidth="29040" windowHeight="15840" tabRatio="704" activeTab="4" xr2:uid="{00000000-000D-0000-FFFF-FFFF00000000}"/>
  </bookViews>
  <sheets>
    <sheet name="Grafiki" sheetId="25" r:id="rId1"/>
    <sheet name="Jogurts" sheetId="26" r:id="rId2"/>
    <sheet name="Skola" sheetId="16" r:id="rId3"/>
    <sheet name="Dati" sheetId="1" r:id="rId4"/>
    <sheet name="Pirkums" sheetId="21" r:id="rId5"/>
    <sheet name="Cenas" sheetId="22" r:id="rId6"/>
    <sheet name="Taisnleņķa" sheetId="20" r:id="rId7"/>
  </sheets>
  <definedNames>
    <definedName name="_xlchart.v1.0" hidden="1">Grafiki!$A$3</definedName>
    <definedName name="_xlchart.v1.1" hidden="1">Grafiki!$D$2:$F$2</definedName>
    <definedName name="_xlchart.v1.2" hidden="1">Grafiki!$D$3:$F$3</definedName>
    <definedName name="_xlnm.Print_Area" localSheetId="4">Pirkums!#REF!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0" l="1"/>
  <c r="G6" i="20"/>
  <c r="G7" i="20"/>
  <c r="G8" i="20"/>
  <c r="G9" i="20"/>
  <c r="G4" i="20"/>
  <c r="F5" i="20"/>
  <c r="F6" i="20"/>
  <c r="F7" i="20"/>
  <c r="F8" i="20"/>
  <c r="F9" i="20"/>
  <c r="F4" i="20"/>
  <c r="E5" i="20"/>
  <c r="E6" i="20"/>
  <c r="E7" i="20"/>
  <c r="E8" i="20"/>
  <c r="E9" i="20"/>
  <c r="E4" i="20"/>
  <c r="D5" i="20"/>
  <c r="D6" i="20"/>
  <c r="D7" i="20"/>
  <c r="D8" i="20"/>
  <c r="D9" i="20"/>
  <c r="D4" i="20"/>
  <c r="C4" i="20"/>
  <c r="C5" i="20"/>
  <c r="C6" i="20"/>
  <c r="C7" i="20"/>
  <c r="C8" i="20"/>
  <c r="C9" i="20"/>
  <c r="B5" i="20"/>
  <c r="B6" i="20"/>
  <c r="B7" i="20"/>
  <c r="B8" i="20"/>
  <c r="B9" i="20"/>
  <c r="B4" i="20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14" i="26"/>
</calcChain>
</file>

<file path=xl/sharedStrings.xml><?xml version="1.0" encoding="utf-8"?>
<sst xmlns="http://schemas.openxmlformats.org/spreadsheetml/2006/main" count="272" uniqueCount="154">
  <si>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</si>
  <si>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</si>
  <si>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</si>
  <si>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</si>
  <si>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</si>
  <si>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</si>
  <si>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</si>
  <si>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</si>
  <si>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</si>
  <si>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</si>
  <si>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tips</t>
  </si>
  <si>
    <t>hipotenūza</t>
  </si>
  <si>
    <t>Trijstūra virsotņu koordinātes</t>
  </si>
  <si>
    <t>Aprēķini trijstūrī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</si>
  <si>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</si>
  <si>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</si>
  <si>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</si>
  <si>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</si>
  <si>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</si>
  <si>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</si>
  <si>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</si>
  <si>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</si>
  <si>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</si>
  <si>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</si>
  <si>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</si>
  <si>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</si>
  <si>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</si>
  <si>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</si>
  <si>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</si>
  <si>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t>Aprēķināt visu iespējamo taisnleņķa trijstūru laukumus</t>
  </si>
  <si>
    <t>leņķis grādos</t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</si>
  <si>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</si>
  <si>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</si>
  <si>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</si>
  <si>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</si>
  <si>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</si>
  <si>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</si>
  <si>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</si>
  <si>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</si>
  <si>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</si>
  <si>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</si>
  <si>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</si>
  <si>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</si>
  <si>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</si>
  <si>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</si>
  <si>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</si>
  <si>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</si>
  <si>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</si>
  <si>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</si>
  <si>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</si>
  <si>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</si>
  <si>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</si>
  <si>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</si>
  <si>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</si>
  <si>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</si>
  <si>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</si>
  <si>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</si>
  <si>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</si>
  <si>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</si>
  <si>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</si>
  <si>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</si>
  <si>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</si>
  <si>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</si>
  <si>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</si>
  <si>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</si>
  <si>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</si>
  <si>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</si>
  <si>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</si>
  <si>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</si>
  <si>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</si>
  <si>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</si>
  <si>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</si>
  <si>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</si>
  <si>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2 punkti</t>
  </si>
  <si>
    <t>1 punkts</t>
  </si>
  <si>
    <t>3 punkti</t>
  </si>
  <si>
    <t>Uzturvielu daudzums 100g produkta</t>
  </si>
  <si>
    <t>Nosaukums</t>
  </si>
  <si>
    <t>Ražotājs</t>
  </si>
  <si>
    <t>Iepakojuma masa kg</t>
  </si>
  <si>
    <t>Olbaltumvielas, gramos</t>
  </si>
  <si>
    <t>Tauki, gramos</t>
  </si>
  <si>
    <t>Ogļhidrāti, gramos</t>
  </si>
  <si>
    <t>Augļu ogu jogurts, aprikozu</t>
  </si>
  <si>
    <t>"Braslas" Z/S</t>
  </si>
  <si>
    <t>Deserta JOGURTS ar meža ogām</t>
  </si>
  <si>
    <t>"Lazdonas piensaimnieks" A/S</t>
  </si>
  <si>
    <t>Diētisks JOGURTS ar dzērvenēm</t>
  </si>
  <si>
    <t>Diētisks JOGURTS ar meža ogām</t>
  </si>
  <si>
    <t>Diētisks JOGURTS ar smiltsērkšķiem</t>
  </si>
  <si>
    <t>Diētisks JOGURTS ar zemenēm</t>
  </si>
  <si>
    <t>Apelsīnu jogurts ar bifido piedevām</t>
  </si>
  <si>
    <t>"M Laiks" SIA</t>
  </si>
  <si>
    <t>Aveņu jogurts ar bifido piedevām</t>
  </si>
  <si>
    <t>Baltais pamatjogurts ar bifido piedevām</t>
  </si>
  <si>
    <t>Banānu jogurts ar bifido piedevām</t>
  </si>
  <si>
    <t>Ananasu jogurts "Zilonītis"</t>
  </si>
  <si>
    <t>"Rīgas piensaimnieks" A/S</t>
  </si>
  <si>
    <t>Jogurts "Zilonītis" baltais bez cukura</t>
  </si>
  <si>
    <t>Ābolu un kanēļa jogurts</t>
  </si>
  <si>
    <t>"Smiltenes piens" A/S</t>
  </si>
  <si>
    <t>Bumbieru un graudu jogurts</t>
  </si>
  <si>
    <t>BIO jogurts ar āboliem un bumbieriem BALTAIS</t>
  </si>
  <si>
    <t>"Tukuma Piens" A/S</t>
  </si>
  <si>
    <t>BIO jogurts ar ķiršiem BALTAIS</t>
  </si>
  <si>
    <t>BIO jogurts ar mellenēm BALTAIS</t>
  </si>
  <si>
    <t>BIO jogurts ar persikiem BALTAIS</t>
  </si>
  <si>
    <t>BIO jogurts ar zemenēm BALTAIS</t>
  </si>
  <si>
    <t>Diētiskais jogurts “Ābolu-kanēļa” BALTAIS</t>
  </si>
  <si>
    <t>Diētiskais jogurts “Augļu mikslis” BALTAIS</t>
  </si>
  <si>
    <t>Diētiskais jogurts “Zemeņu–vaniļas “ BALTAIS</t>
  </si>
  <si>
    <t>Jogurts “ Augļu bumba” BALTAIS</t>
  </si>
  <si>
    <t>Jogurts ar persikiem BALTAIS</t>
  </si>
  <si>
    <t>UZDEVUMI</t>
  </si>
  <si>
    <t>Pievienot riņķa diagrammai datu vērtības procentos</t>
  </si>
  <si>
    <t>Pievienot stabiņu diagrammai virsrakstu "BIO jogurtu uzturvērtība"</t>
  </si>
  <si>
    <t>Uzturvielu diennakts normas</t>
  </si>
  <si>
    <t>Uzturvielu enerēgētiskā vērtība 100g</t>
  </si>
  <si>
    <t>Olbaltumvielas, g</t>
  </si>
  <si>
    <t>Tauki, g</t>
  </si>
  <si>
    <t>Ogļhidrāti, g</t>
  </si>
  <si>
    <t>kcal</t>
  </si>
  <si>
    <t>Olbaltumvielas, 100g</t>
  </si>
  <si>
    <t>Tauki,100 g</t>
  </si>
  <si>
    <t>Ogļhidrāti, 100g</t>
  </si>
  <si>
    <t>Pieaudzis 70 kg smags cilvēks, smags fizisks darbs</t>
  </si>
  <si>
    <t>Kilokalorijas</t>
  </si>
  <si>
    <t>Pieaudzis 70 kg smags cilvēks, darbs bez fiziskas piepūles</t>
  </si>
  <si>
    <t>Pusaudzis, 15-18 gadus vecs</t>
  </si>
  <si>
    <t>Sanummurēt jogurtus</t>
  </si>
  <si>
    <t>Pusaudzis, 11-15 gadus vecs</t>
  </si>
  <si>
    <t>Aprēķināt cik olbaltumvielu, ogļhidrātu un tauku ir vienā jogurta paciņā</t>
  </si>
  <si>
    <t>Bērns, 7-11 gadus vecs</t>
  </si>
  <si>
    <t>Aprēķināt cik kilokaloriju enerģijas ir 100 gramos jogurta. Aprēķinos jāizmanto dati no šūnām I3,J3,K3 un kolonām E,F,G</t>
  </si>
  <si>
    <t>Bērns, 3-7 gadus vecs</t>
  </si>
  <si>
    <t>Aprēķināt cik kilokaloriju enerģijas ir vienā paciņā jogurta</t>
  </si>
  <si>
    <t>Bērns, 1-3 gadus vecs</t>
  </si>
  <si>
    <t>Aprēķināt kādu daļu no ogļhidrātu dienas normas 14 gadīgs pusaudzis var uzņemt, ja apēd vienu paciņu jogurta</t>
  </si>
  <si>
    <t>Uzturvielu daudzums vienā iepakojumā</t>
  </si>
  <si>
    <t>Npk</t>
  </si>
  <si>
    <t>Iepakojuma svars, g</t>
  </si>
  <si>
    <t>Kilokalorijas 100 gramos</t>
  </si>
  <si>
    <t>Kilokalorijas iepakojumā</t>
  </si>
  <si>
    <t>Ogļhidrāti, % no pusaudža dienas normas</t>
  </si>
  <si>
    <t>Attēlot stabiņu diagrammā datus par Lazdonas piensaimnieka ražoto jogurtu uzturvērtību</t>
  </si>
  <si>
    <t>Mainīt krāsu riņķa diagrammas  sektoram, kas attēlo ogļhidrtātu daudzumu.</t>
  </si>
  <si>
    <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</si>
  <si>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sz val="11"/>
        <color rgb="FF231F20"/>
        <rFont val="Arial"/>
        <family val="2"/>
      </rPr>
      <t xml:space="preserve">datuma formātā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</si>
  <si>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</si>
  <si>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t>Iesaldēt pirmās trīs darblapas rindas</t>
  </si>
  <si>
    <t>Darblapas pirmās trīs rindas iestatīt kā atkārtoti drukājamas.</t>
  </si>
  <si>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</si>
  <si>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</t>
    </r>
    <r>
      <rPr>
        <b/>
        <i/>
        <sz val="11"/>
        <color rgb="FF231F20"/>
        <rFont val="Arial"/>
        <family val="2"/>
      </rPr>
      <t xml:space="preserve"> D2:D27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 xml:space="preserve">. Lapās </t>
    </r>
    <r>
      <rPr>
        <b/>
        <i/>
        <sz val="11"/>
        <color rgb="FF231F20"/>
        <rFont val="Arial"/>
        <family val="2"/>
      </rPr>
      <t>pirkums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 xml:space="preserve"> dati ir sakārtoti vienādā secībā.</t>
    </r>
  </si>
  <si>
    <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 xml:space="preserve">ievadīt formulu, kas izmantojot dotos datus, aprēķina visu taisnleņķa trijstūru laukumus. Kateti aprēķina kā </t>
    </r>
    <r>
      <rPr>
        <i/>
        <sz val="11"/>
        <color rgb="FF231F20"/>
        <rFont val="Arial"/>
        <family val="2"/>
      </rPr>
      <t>hipotenūza*sin(leņķis)</t>
    </r>
    <r>
      <rPr>
        <sz val="11"/>
        <color rgb="FF231F20"/>
        <rFont val="Arial"/>
        <family val="2"/>
      </rPr>
      <t xml:space="preserve"> vai </t>
    </r>
    <r>
      <rPr>
        <i/>
        <sz val="11"/>
        <color rgb="FF231F20"/>
        <rFont val="Arial"/>
        <family val="2"/>
      </rPr>
      <t>hipotenūza*cos(leņķis</t>
    </r>
    <r>
      <rPr>
        <sz val="11"/>
        <color rgb="FF231F20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</si>
</sst>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%"/>
    <numFmt numFmtId="169" formatCode="_-* #,##0_-;\-* #,##0_-;_-* &quot;-&quot;??_-;_-@_-"/>
    <numFmt numFmtId="172" formatCode="_-* ###0.00_-;\-* #,##0.00_-;_-* &quot;-&quot;??_-;_-@_-"/>
  </numFmts>
  <fonts count="28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sz val="10"/>
      <name val="Arial"/>
      <charset val="186"/>
    </font>
    <font>
      <b/>
      <sz val="10"/>
      <name val="Tahoma"/>
      <family val="2"/>
      <charset val="186"/>
    </font>
    <font>
      <sz val="10"/>
      <color rgb="FFFF0000"/>
      <name val="Arial"/>
      <family val="2"/>
      <charset val="186"/>
    </font>
    <font>
      <b/>
      <sz val="12"/>
      <name val="Tahoma"/>
      <family val="2"/>
      <charset val="186"/>
    </font>
    <font>
      <sz val="10"/>
      <color rgb="FFFF0000"/>
      <name val="Tahoma"/>
      <family val="2"/>
      <charset val="186"/>
    </font>
    <font>
      <sz val="11"/>
      <name val="Arial"/>
      <family val="2"/>
      <charset val="186"/>
    </font>
    <font>
      <b/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1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1" fillId="0" borderId="0"/>
    <xf numFmtId="9" fontId="5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0" fillId="2" borderId="0" xfId="0" applyFill="1" applyAlignment="1">
      <alignment horizontal="center"/>
    </xf>
    <xf numFmtId="0" fontId="11" fillId="0" borderId="0" xfId="2" applyFont="1"/>
    <xf numFmtId="0" fontId="10" fillId="0" borderId="0" xfId="2"/>
    <xf numFmtId="0" fontId="10" fillId="0" borderId="0" xfId="2" applyAlignment="1">
      <alignment horizontal="center"/>
    </xf>
    <xf numFmtId="0" fontId="10" fillId="2" borderId="0" xfId="2" applyFill="1"/>
    <xf numFmtId="0" fontId="12" fillId="0" borderId="0" xfId="2" applyFont="1"/>
    <xf numFmtId="0" fontId="14" fillId="0" borderId="0" xfId="2" applyFont="1"/>
    <xf numFmtId="0" fontId="12" fillId="0" borderId="0" xfId="2" applyFont="1" applyAlignment="1">
      <alignment horizontal="center"/>
    </xf>
    <xf numFmtId="167" fontId="12" fillId="0" borderId="0" xfId="2" applyNumberFormat="1" applyFont="1" applyAlignment="1">
      <alignment horizontal="center"/>
    </xf>
    <xf numFmtId="0" fontId="10" fillId="3" borderId="0" xfId="2" applyFill="1"/>
    <xf numFmtId="0" fontId="10" fillId="2" borderId="3" xfId="2" applyFill="1" applyBorder="1"/>
    <xf numFmtId="0" fontId="13" fillId="3" borderId="0" xfId="2" applyFont="1" applyFill="1" applyAlignment="1">
      <alignment horizontal="center" vertical="center" wrapText="1"/>
    </xf>
    <xf numFmtId="165" fontId="12" fillId="3" borderId="0" xfId="3" applyNumberFormat="1" applyFont="1" applyFill="1" applyAlignment="1">
      <alignment horizontal="center"/>
    </xf>
    <xf numFmtId="9" fontId="14" fillId="3" borderId="0" xfId="4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16" fillId="3" borderId="0" xfId="2" applyFont="1" applyFill="1" applyAlignment="1">
      <alignment horizontal="center" vertical="center" wrapText="1"/>
    </xf>
    <xf numFmtId="167" fontId="12" fillId="3" borderId="0" xfId="5" applyNumberFormat="1" applyFont="1" applyFill="1" applyAlignment="1">
      <alignment horizontal="center"/>
    </xf>
    <xf numFmtId="167" fontId="12" fillId="3" borderId="0" xfId="2" applyNumberFormat="1" applyFont="1" applyFill="1" applyAlignment="1">
      <alignment horizontal="center"/>
    </xf>
    <xf numFmtId="0" fontId="12" fillId="3" borderId="0" xfId="2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17" fillId="0" borderId="0" xfId="2" applyFont="1" applyAlignment="1">
      <alignment horizontal="center"/>
    </xf>
    <xf numFmtId="0" fontId="13" fillId="0" borderId="0" xfId="2" applyFont="1"/>
    <xf numFmtId="0" fontId="2" fillId="3" borderId="0" xfId="0" applyFont="1" applyFill="1"/>
    <xf numFmtId="0" fontId="18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12" fillId="0" borderId="0" xfId="6" applyFont="1"/>
    <xf numFmtId="0" fontId="21" fillId="0" borderId="0" xfId="6"/>
    <xf numFmtId="0" fontId="12" fillId="0" borderId="3" xfId="6" applyFont="1" applyBorder="1"/>
    <xf numFmtId="0" fontId="21" fillId="0" borderId="3" xfId="6" applyBorder="1"/>
    <xf numFmtId="2" fontId="0" fillId="0" borderId="1" xfId="3" applyNumberFormat="1" applyFont="1" applyBorder="1" applyAlignment="1">
      <alignment horizontal="center"/>
    </xf>
    <xf numFmtId="0" fontId="21" fillId="0" borderId="8" xfId="6" applyBorder="1" applyAlignment="1">
      <alignment horizontal="center"/>
    </xf>
    <xf numFmtId="0" fontId="21" fillId="0" borderId="3" xfId="6" applyBorder="1" applyAlignment="1">
      <alignment horizontal="center"/>
    </xf>
    <xf numFmtId="0" fontId="21" fillId="0" borderId="9" xfId="6" applyBorder="1" applyAlignment="1">
      <alignment horizontal="center"/>
    </xf>
    <xf numFmtId="0" fontId="21" fillId="0" borderId="10" xfId="6" applyBorder="1" applyAlignment="1">
      <alignment horizontal="center"/>
    </xf>
    <xf numFmtId="0" fontId="21" fillId="0" borderId="11" xfId="6" applyBorder="1" applyAlignment="1">
      <alignment horizontal="center"/>
    </xf>
    <xf numFmtId="0" fontId="21" fillId="0" borderId="12" xfId="6" applyBorder="1" applyAlignment="1">
      <alignment horizontal="center"/>
    </xf>
    <xf numFmtId="0" fontId="23" fillId="0" borderId="0" xfId="6" applyFont="1"/>
    <xf numFmtId="0" fontId="23" fillId="0" borderId="0" xfId="6" applyFont="1" applyAlignment="1">
      <alignment horizontal="center"/>
    </xf>
    <xf numFmtId="0" fontId="24" fillId="0" borderId="0" xfId="6" applyFont="1"/>
    <xf numFmtId="0" fontId="21" fillId="0" borderId="0" xfId="6" applyAlignment="1">
      <alignment wrapText="1"/>
    </xf>
    <xf numFmtId="0" fontId="12" fillId="0" borderId="3" xfId="6" applyFont="1" applyBorder="1" applyAlignment="1">
      <alignment wrapText="1"/>
    </xf>
    <xf numFmtId="0" fontId="12" fillId="0" borderId="3" xfId="6" applyFont="1" applyBorder="1" applyAlignment="1">
      <alignment horizontal="center" wrapText="1"/>
    </xf>
    <xf numFmtId="0" fontId="21" fillId="0" borderId="3" xfId="6" applyBorder="1" applyAlignment="1">
      <alignment vertical="center" wrapText="1"/>
    </xf>
    <xf numFmtId="0" fontId="12" fillId="0" borderId="3" xfId="6" applyFont="1" applyBorder="1" applyAlignment="1">
      <alignment horizontal="center" vertical="center" wrapText="1"/>
    </xf>
    <xf numFmtId="0" fontId="12" fillId="0" borderId="3" xfId="6" applyFont="1" applyBorder="1" applyAlignment="1">
      <alignment horizontal="center"/>
    </xf>
    <xf numFmtId="0" fontId="12" fillId="0" borderId="3" xfId="6" applyFont="1" applyBorder="1" applyAlignment="1">
      <alignment horizontal="center" vertical="center"/>
    </xf>
    <xf numFmtId="0" fontId="25" fillId="0" borderId="0" xfId="6" applyFont="1" applyAlignment="1">
      <alignment horizontal="center"/>
    </xf>
    <xf numFmtId="0" fontId="12" fillId="2" borderId="3" xfId="6" applyFont="1" applyFill="1" applyBorder="1" applyAlignment="1">
      <alignment horizontal="center"/>
    </xf>
    <xf numFmtId="0" fontId="12" fillId="0" borderId="0" xfId="6" applyFont="1" applyAlignment="1">
      <alignment horizontal="center"/>
    </xf>
    <xf numFmtId="0" fontId="12" fillId="0" borderId="1" xfId="6" applyFont="1" applyBorder="1" applyAlignment="1">
      <alignment wrapText="1"/>
    </xf>
    <xf numFmtId="0" fontId="12" fillId="0" borderId="8" xfId="6" applyFont="1" applyBorder="1" applyAlignment="1">
      <alignment wrapText="1"/>
    </xf>
    <xf numFmtId="0" fontId="12" fillId="0" borderId="9" xfId="6" applyFont="1" applyBorder="1" applyAlignment="1">
      <alignment wrapText="1"/>
    </xf>
    <xf numFmtId="0" fontId="12" fillId="0" borderId="2" xfId="6" applyFont="1" applyBorder="1" applyAlignment="1">
      <alignment wrapText="1"/>
    </xf>
    <xf numFmtId="0" fontId="21" fillId="0" borderId="1" xfId="6" applyBorder="1" applyAlignment="1">
      <alignment horizontal="center"/>
    </xf>
    <xf numFmtId="168" fontId="12" fillId="0" borderId="0" xfId="4" applyNumberFormat="1" applyFont="1" applyBorder="1" applyAlignment="1">
      <alignment horizontal="right" vertical="center"/>
    </xf>
    <xf numFmtId="0" fontId="21" fillId="2" borderId="0" xfId="6" applyFill="1"/>
    <xf numFmtId="0" fontId="10" fillId="2" borderId="0" xfId="6" applyFont="1" applyFill="1"/>
    <xf numFmtId="0" fontId="14" fillId="2" borderId="0" xfId="6" applyFont="1" applyFill="1"/>
    <xf numFmtId="0" fontId="21" fillId="2" borderId="8" xfId="6" applyFill="1" applyBorder="1"/>
    <xf numFmtId="0" fontId="21" fillId="2" borderId="3" xfId="6" applyFill="1" applyBorder="1"/>
    <xf numFmtId="0" fontId="21" fillId="2" borderId="9" xfId="6" applyFill="1" applyBorder="1"/>
    <xf numFmtId="0" fontId="21" fillId="2" borderId="2" xfId="6" applyFill="1" applyBorder="1"/>
    <xf numFmtId="0" fontId="21" fillId="2" borderId="8" xfId="6" applyFill="1" applyBorder="1" applyAlignment="1">
      <alignment horizontal="center"/>
    </xf>
    <xf numFmtId="0" fontId="21" fillId="2" borderId="3" xfId="6" applyFill="1" applyBorder="1" applyAlignment="1">
      <alignment horizontal="center"/>
    </xf>
    <xf numFmtId="0" fontId="21" fillId="2" borderId="9" xfId="6" applyFill="1" applyBorder="1" applyAlignment="1">
      <alignment horizontal="center"/>
    </xf>
    <xf numFmtId="43" fontId="1" fillId="0" borderId="0" xfId="1" applyFont="1" applyAlignment="1">
      <alignment horizontal="center"/>
    </xf>
    <xf numFmtId="43" fontId="0" fillId="2" borderId="0" xfId="1" applyFont="1" applyFill="1" applyAlignment="1">
      <alignment horizontal="center"/>
    </xf>
    <xf numFmtId="169" fontId="0" fillId="0" borderId="0" xfId="1" applyNumberFormat="1" applyFont="1" applyAlignment="1">
      <alignment horizontal="center"/>
    </xf>
    <xf numFmtId="169" fontId="1" fillId="0" borderId="0" xfId="1" applyNumberFormat="1" applyFont="1" applyAlignment="1">
      <alignment horizontal="center"/>
    </xf>
    <xf numFmtId="169" fontId="0" fillId="2" borderId="0" xfId="1" applyNumberFormat="1" applyFont="1" applyFill="1" applyAlignment="1">
      <alignment horizontal="center"/>
    </xf>
    <xf numFmtId="0" fontId="17" fillId="2" borderId="3" xfId="6" applyFont="1" applyFill="1" applyBorder="1"/>
    <xf numFmtId="0" fontId="17" fillId="0" borderId="3" xfId="6" applyFont="1" applyBorder="1"/>
    <xf numFmtId="0" fontId="17" fillId="0" borderId="1" xfId="6" applyFont="1" applyBorder="1"/>
    <xf numFmtId="0" fontId="17" fillId="2" borderId="8" xfId="6" applyFont="1" applyFill="1" applyBorder="1"/>
    <xf numFmtId="0" fontId="17" fillId="2" borderId="9" xfId="6" applyFont="1" applyFill="1" applyBorder="1"/>
    <xf numFmtId="0" fontId="15" fillId="2" borderId="0" xfId="6" applyFont="1" applyFill="1"/>
    <xf numFmtId="0" fontId="18" fillId="2" borderId="0" xfId="6" applyFont="1" applyFill="1" applyAlignment="1">
      <alignment horizontal="center"/>
    </xf>
    <xf numFmtId="0" fontId="26" fillId="2" borderId="0" xfId="6" applyFont="1" applyFill="1"/>
    <xf numFmtId="0" fontId="27" fillId="2" borderId="0" xfId="6" applyFont="1" applyFill="1" applyAlignment="1">
      <alignment horizontal="center"/>
    </xf>
    <xf numFmtId="0" fontId="12" fillId="2" borderId="3" xfId="6" applyFont="1" applyFill="1" applyBorder="1" applyAlignment="1">
      <alignment horizontal="center" vertical="center"/>
    </xf>
    <xf numFmtId="0" fontId="21" fillId="2" borderId="3" xfId="6" applyFill="1" applyBorder="1" applyAlignment="1">
      <alignment horizontal="center" vertical="center"/>
    </xf>
    <xf numFmtId="0" fontId="13" fillId="0" borderId="0" xfId="2" applyFont="1" applyAlignment="1">
      <alignment horizontal="center"/>
    </xf>
    <xf numFmtId="0" fontId="10" fillId="0" borderId="0" xfId="6" applyFont="1"/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0" fontId="22" fillId="0" borderId="7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/>
    </xf>
    <xf numFmtId="0" fontId="24" fillId="0" borderId="1" xfId="6" applyFont="1" applyBorder="1" applyAlignment="1">
      <alignment horizontal="center"/>
    </xf>
    <xf numFmtId="0" fontId="24" fillId="0" borderId="13" xfId="6" applyFont="1" applyBorder="1" applyAlignment="1">
      <alignment horizontal="center"/>
    </xf>
    <xf numFmtId="0" fontId="24" fillId="0" borderId="2" xfId="6" applyFont="1" applyBorder="1" applyAlignment="1">
      <alignment horizont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3" fillId="3" borderId="0" xfId="2" applyFont="1" applyFill="1" applyAlignment="1">
      <alignment horizontal="right"/>
    </xf>
    <xf numFmtId="0" fontId="13" fillId="3" borderId="4" xfId="2" applyFont="1" applyFill="1" applyBorder="1" applyAlignment="1">
      <alignment horizontal="right"/>
    </xf>
    <xf numFmtId="0" fontId="13" fillId="0" borderId="0" xfId="2" applyFont="1" applyAlignment="1">
      <alignment horizontal="center"/>
    </xf>
    <xf numFmtId="9" fontId="21" fillId="2" borderId="3" xfId="7" applyFont="1" applyFill="1" applyBorder="1"/>
    <xf numFmtId="172" fontId="7" fillId="2" borderId="3" xfId="1" applyNumberFormat="1" applyFont="1" applyFill="1" applyBorder="1" applyAlignment="1">
      <alignment horizontal="center" vertical="center"/>
    </xf>
    <xf numFmtId="14" fontId="0" fillId="2" borderId="3" xfId="1" applyNumberFormat="1" applyFont="1" applyFill="1" applyBorder="1"/>
  </cellXfs>
  <cellStyles count="8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Normal 3" xfId="6" xr:uid="{9A10B897-F044-414B-B454-DB657FD010F1}"/>
    <cellStyle name="Percent" xfId="7" builtinId="5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BIO</a:t>
            </a:r>
            <a:r>
              <a:rPr lang="lv-LV" baseline="0"/>
              <a:t> jogurtu uzturvērtība</a:t>
            </a:r>
            <a:endParaRPr lang="lv-LV"/>
          </a:p>
        </c:rich>
      </c:tx>
      <c:overlay val="0"/>
    </c:title>
    <c:autoTitleDeleted val="0"/>
    <c:view3D>
      <c:rotX val="30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Grafiki!$D$2</c:f>
              <c:strCache>
                <c:ptCount val="1"/>
                <c:pt idx="0">
                  <c:v>Olbaltumvielas, gramos</c:v>
                </c:pt>
              </c:strCache>
            </c:strRef>
          </c:tx>
          <c:invertIfNegative val="0"/>
          <c:cat>
            <c:strRef>
              <c:f>Grafiki!$A$17:$A$21</c:f>
              <c:strCache>
                <c:ptCount val="5"/>
                <c:pt idx="0">
                  <c:v>BIO jogurts ar āboliem un bumbieriem BALTAIS</c:v>
                </c:pt>
                <c:pt idx="1">
                  <c:v>BIO jogurts ar ķiršiem BALTAIS</c:v>
                </c:pt>
                <c:pt idx="2">
                  <c:v>BIO jogurts ar mellenēm BALTAIS</c:v>
                </c:pt>
                <c:pt idx="3">
                  <c:v>BIO jogurts ar persikiem BALTAIS</c:v>
                </c:pt>
                <c:pt idx="4">
                  <c:v>BIO jogurts ar zemenēm BALTAIS</c:v>
                </c:pt>
              </c:strCache>
            </c:strRef>
          </c:cat>
          <c:val>
            <c:numRef>
              <c:f>Grafiki!$D$17:$D$21</c:f>
              <c:numCache>
                <c:formatCode>General</c:formatCode>
                <c:ptCount val="5"/>
                <c:pt idx="0">
                  <c:v>2.7</c:v>
                </c:pt>
                <c:pt idx="1">
                  <c:v>3</c:v>
                </c:pt>
                <c:pt idx="2">
                  <c:v>2.5</c:v>
                </c:pt>
                <c:pt idx="3">
                  <c:v>3.2999999999999994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0-4FBA-8252-DC39778B5405}"/>
            </c:ext>
          </c:extLst>
        </c:ser>
        <c:ser>
          <c:idx val="1"/>
          <c:order val="1"/>
          <c:tx>
            <c:strRef>
              <c:f>Grafiki!$E$2</c:f>
              <c:strCache>
                <c:ptCount val="1"/>
                <c:pt idx="0">
                  <c:v>Tauki, gramos</c:v>
                </c:pt>
              </c:strCache>
            </c:strRef>
          </c:tx>
          <c:invertIfNegative val="0"/>
          <c:cat>
            <c:strRef>
              <c:f>Grafiki!$A$17:$A$21</c:f>
              <c:strCache>
                <c:ptCount val="5"/>
                <c:pt idx="0">
                  <c:v>BIO jogurts ar āboliem un bumbieriem BALTAIS</c:v>
                </c:pt>
                <c:pt idx="1">
                  <c:v>BIO jogurts ar ķiršiem BALTAIS</c:v>
                </c:pt>
                <c:pt idx="2">
                  <c:v>BIO jogurts ar mellenēm BALTAIS</c:v>
                </c:pt>
                <c:pt idx="3">
                  <c:v>BIO jogurts ar persikiem BALTAIS</c:v>
                </c:pt>
                <c:pt idx="4">
                  <c:v>BIO jogurts ar zemenēm BALTAIS</c:v>
                </c:pt>
              </c:strCache>
            </c:strRef>
          </c:cat>
          <c:val>
            <c:numRef>
              <c:f>Grafiki!$E$17:$E$21</c:f>
              <c:numCache>
                <c:formatCode>General</c:formatCode>
                <c:ptCount val="5"/>
                <c:pt idx="0">
                  <c:v>3.9</c:v>
                </c:pt>
                <c:pt idx="1">
                  <c:v>3.2999999999999994</c:v>
                </c:pt>
                <c:pt idx="2">
                  <c:v>5.5</c:v>
                </c:pt>
                <c:pt idx="3">
                  <c:v>1.3</c:v>
                </c:pt>
                <c:pt idx="4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0-4FBA-8252-DC39778B5405}"/>
            </c:ext>
          </c:extLst>
        </c:ser>
        <c:ser>
          <c:idx val="2"/>
          <c:order val="2"/>
          <c:tx>
            <c:strRef>
              <c:f>Grafiki!$F$2</c:f>
              <c:strCache>
                <c:ptCount val="1"/>
                <c:pt idx="0">
                  <c:v>Ogļhidrāti, gramos</c:v>
                </c:pt>
              </c:strCache>
            </c:strRef>
          </c:tx>
          <c:invertIfNegative val="0"/>
          <c:cat>
            <c:strRef>
              <c:f>Grafiki!$A$17:$A$21</c:f>
              <c:strCache>
                <c:ptCount val="5"/>
                <c:pt idx="0">
                  <c:v>BIO jogurts ar āboliem un bumbieriem BALTAIS</c:v>
                </c:pt>
                <c:pt idx="1">
                  <c:v>BIO jogurts ar ķiršiem BALTAIS</c:v>
                </c:pt>
                <c:pt idx="2">
                  <c:v>BIO jogurts ar mellenēm BALTAIS</c:v>
                </c:pt>
                <c:pt idx="3">
                  <c:v>BIO jogurts ar persikiem BALTAIS</c:v>
                </c:pt>
                <c:pt idx="4">
                  <c:v>BIO jogurts ar zemenēm BALTAIS</c:v>
                </c:pt>
              </c:strCache>
            </c:strRef>
          </c:cat>
          <c:val>
            <c:numRef>
              <c:f>Grafiki!$F$17:$F$21</c:f>
              <c:numCache>
                <c:formatCode>General</c:formatCode>
                <c:ptCount val="5"/>
                <c:pt idx="0">
                  <c:v>9.5999999999999979</c:v>
                </c:pt>
                <c:pt idx="1">
                  <c:v>3.7</c:v>
                </c:pt>
                <c:pt idx="2">
                  <c:v>7</c:v>
                </c:pt>
                <c:pt idx="3">
                  <c:v>7.9</c:v>
                </c:pt>
                <c:pt idx="4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0-4FBA-8252-DC39778B5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74909312"/>
        <c:axId val="174910848"/>
        <c:axId val="0"/>
      </c:bar3DChart>
      <c:catAx>
        <c:axId val="174909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910848"/>
        <c:crosses val="autoZero"/>
        <c:auto val="1"/>
        <c:lblAlgn val="ctr"/>
        <c:lblOffset val="100"/>
        <c:noMultiLvlLbl val="0"/>
      </c:catAx>
      <c:valAx>
        <c:axId val="17491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909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view3D>
      <c:rotX val="30"/>
      <c:rotY val="0"/>
      <c:rAngAx val="0"/>
    </c:view3D>
    <c:floor>
      <c:thickness val="0"/>
      <c:spPr>
        <a:noFill/>
        <a:ln w="9525" cap="flat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9525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Grafiki!$A$3</c:f>
              <c:strCache>
                <c:ptCount val="1"/>
                <c:pt idx="0">
                  <c:v>Augļu ogu jogurts, aprikozu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B62-4390-B281-C614A3394524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Grafiki!$D$2:$F$2</c:f>
              <c:strCache>
                <c:ptCount val="3"/>
                <c:pt idx="0">
                  <c:v>Olbaltumvielas, gramos</c:v>
                </c:pt>
                <c:pt idx="1">
                  <c:v>Tauki, gramos</c:v>
                </c:pt>
                <c:pt idx="2">
                  <c:v>Ogļhidrāti, gramos</c:v>
                </c:pt>
              </c:strCache>
            </c:strRef>
          </c:cat>
          <c:val>
            <c:numRef>
              <c:f>Grafiki!$D$3:$F$3</c:f>
              <c:numCache>
                <c:formatCode>General</c:formatCode>
                <c:ptCount val="3"/>
                <c:pt idx="0">
                  <c:v>3</c:v>
                </c:pt>
                <c:pt idx="1">
                  <c:v>3.4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A-4309-9E31-8F87127CB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Lazdonas piensaimnieka jogurtu uzturvērtība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Grafiki!$A$4:$A$8</c:f>
              <c:strCache>
                <c:ptCount val="5"/>
                <c:pt idx="0">
                  <c:v>Deserta JOGURTS ar meža ogām</c:v>
                </c:pt>
                <c:pt idx="1">
                  <c:v>Diētisks JOGURTS ar dzērvenēm</c:v>
                </c:pt>
                <c:pt idx="2">
                  <c:v>Diētisks JOGURTS ar meža ogām</c:v>
                </c:pt>
                <c:pt idx="3">
                  <c:v>Diētisks JOGURTS ar smiltsērkšķiem</c:v>
                </c:pt>
                <c:pt idx="4">
                  <c:v>Diētisks JOGURTS ar zemenēm</c:v>
                </c:pt>
              </c:strCache>
            </c:strRef>
          </c:cat>
          <c:val>
            <c:numRef>
              <c:f>Grafiki!$D$4:$D$8</c:f>
              <c:numCache>
                <c:formatCode>General</c:formatCode>
                <c:ptCount val="5"/>
                <c:pt idx="0">
                  <c:v>3.3</c:v>
                </c:pt>
                <c:pt idx="1">
                  <c:v>2.8000000000000003</c:v>
                </c:pt>
                <c:pt idx="2">
                  <c:v>3.8</c:v>
                </c:pt>
                <c:pt idx="3">
                  <c:v>2.4</c:v>
                </c:pt>
                <c:pt idx="4">
                  <c:v>3.6000000000000005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9-4761-8505-D8BE5DD046C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Grafiki!$A$4:$A$8</c:f>
              <c:strCache>
                <c:ptCount val="5"/>
                <c:pt idx="0">
                  <c:v>Deserta JOGURTS ar meža ogām</c:v>
                </c:pt>
                <c:pt idx="1">
                  <c:v>Diētisks JOGURTS ar dzērvenēm</c:v>
                </c:pt>
                <c:pt idx="2">
                  <c:v>Diētisks JOGURTS ar meža ogām</c:v>
                </c:pt>
                <c:pt idx="3">
                  <c:v>Diētisks JOGURTS ar smiltsērkšķiem</c:v>
                </c:pt>
                <c:pt idx="4">
                  <c:v>Diētisks JOGURTS ar zemenēm</c:v>
                </c:pt>
              </c:strCache>
            </c:strRef>
          </c:cat>
          <c:val>
            <c:numRef>
              <c:f>Grafiki!$E$4:$E$8</c:f>
              <c:numCache>
                <c:formatCode>General</c:formatCode>
                <c:ptCount val="5"/>
                <c:pt idx="0">
                  <c:v>4.5999999999999996</c:v>
                </c:pt>
                <c:pt idx="1">
                  <c:v>0.90000000000000013</c:v>
                </c:pt>
                <c:pt idx="2">
                  <c:v>4.4000000000000004</c:v>
                </c:pt>
                <c:pt idx="3">
                  <c:v>1.7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9-4761-8505-D8BE5DD046C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Grafiki!$A$4:$A$8</c:f>
              <c:strCache>
                <c:ptCount val="5"/>
                <c:pt idx="0">
                  <c:v>Deserta JOGURTS ar meža ogām</c:v>
                </c:pt>
                <c:pt idx="1">
                  <c:v>Diētisks JOGURTS ar dzērvenēm</c:v>
                </c:pt>
                <c:pt idx="2">
                  <c:v>Diētisks JOGURTS ar meža ogām</c:v>
                </c:pt>
                <c:pt idx="3">
                  <c:v>Diētisks JOGURTS ar smiltsērkšķiem</c:v>
                </c:pt>
                <c:pt idx="4">
                  <c:v>Diētisks JOGURTS ar zemenēm</c:v>
                </c:pt>
              </c:strCache>
            </c:strRef>
          </c:cat>
          <c:val>
            <c:numRef>
              <c:f>Grafiki!$F$4:$F$8</c:f>
              <c:numCache>
                <c:formatCode>General</c:formatCode>
                <c:ptCount val="5"/>
                <c:pt idx="0">
                  <c:v>13.4</c:v>
                </c:pt>
                <c:pt idx="1">
                  <c:v>2.8000000000000003</c:v>
                </c:pt>
                <c:pt idx="2">
                  <c:v>7.5</c:v>
                </c:pt>
                <c:pt idx="3">
                  <c:v>4.3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9-4761-8505-D8BE5DD0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567039"/>
        <c:axId val="335562463"/>
      </c:barChart>
      <c:catAx>
        <c:axId val="33556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35562463"/>
        <c:crosses val="autoZero"/>
        <c:auto val="1"/>
        <c:lblAlgn val="ctr"/>
        <c:lblOffset val="100"/>
        <c:noMultiLvlLbl val="0"/>
      </c:catAx>
      <c:valAx>
        <c:axId val="3355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3556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0</xdr:row>
      <xdr:rowOff>157162</xdr:rowOff>
    </xdr:from>
    <xdr:to>
      <xdr:col>17</xdr:col>
      <xdr:colOff>161925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4C4C3-E9CC-415F-B6B2-BAA26FC59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1057275</xdr:colOff>
      <xdr:row>27</xdr:row>
      <xdr:rowOff>71437</xdr:rowOff>
    </xdr:from>
    <xdr:to>
      <xdr:col>3</xdr:col>
      <xdr:colOff>619125</xdr:colOff>
      <xdr:row>44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C1E74-F086-4A5D-B675-F0C83895A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814386</xdr:colOff>
      <xdr:row>33</xdr:row>
      <xdr:rowOff>76200</xdr:rowOff>
    </xdr:from>
    <xdr:to>
      <xdr:col>12</xdr:col>
      <xdr:colOff>9524</xdr:colOff>
      <xdr:row>57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DFA89A-EDBC-4526-B7B6-17B7094D4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A64D-EF68-48E8-B16F-09B4403C9E56}">
  <dimension ref="A1:Q33"/>
  <sheetViews>
    <sheetView topLeftCell="A16" workbookViewId="0">
      <selection activeCell="N45" sqref="N45"/>
    </sheetView>
  </sheetViews>
  <sheetFormatPr defaultColWidth="8.85546875" defaultRowHeight="12.75" x14ac:dyDescent="0.2"/>
  <cols>
    <col min="1" max="1" width="34.85546875" style="34" customWidth="1"/>
    <col min="2" max="2" width="18.5703125" style="34" customWidth="1"/>
    <col min="3" max="3" width="21.7109375" style="34" customWidth="1"/>
    <col min="4" max="6" width="13" style="34" customWidth="1"/>
    <col min="7" max="16384" width="8.85546875" style="34"/>
  </cols>
  <sheetData>
    <row r="1" spans="1:6" ht="17.25" customHeight="1" x14ac:dyDescent="0.2">
      <c r="A1" s="33"/>
      <c r="B1" s="33"/>
      <c r="C1" s="33"/>
      <c r="D1" s="91" t="s">
        <v>76</v>
      </c>
      <c r="E1" s="92"/>
      <c r="F1" s="93"/>
    </row>
    <row r="2" spans="1:6" x14ac:dyDescent="0.2">
      <c r="A2" s="78" t="s">
        <v>77</v>
      </c>
      <c r="B2" s="79" t="s">
        <v>78</v>
      </c>
      <c r="C2" s="80" t="s">
        <v>79</v>
      </c>
      <c r="D2" s="81" t="s">
        <v>80</v>
      </c>
      <c r="E2" s="78" t="s">
        <v>81</v>
      </c>
      <c r="F2" s="82" t="s">
        <v>82</v>
      </c>
    </row>
    <row r="3" spans="1:6" x14ac:dyDescent="0.2">
      <c r="A3" s="36" t="s">
        <v>83</v>
      </c>
      <c r="B3" s="36" t="s">
        <v>84</v>
      </c>
      <c r="C3" s="37">
        <v>0.15</v>
      </c>
      <c r="D3" s="38">
        <v>3</v>
      </c>
      <c r="E3" s="39">
        <v>3.4</v>
      </c>
      <c r="F3" s="40">
        <v>14</v>
      </c>
    </row>
    <row r="4" spans="1:6" x14ac:dyDescent="0.2">
      <c r="A4" s="67" t="s">
        <v>85</v>
      </c>
      <c r="B4" s="36" t="s">
        <v>86</v>
      </c>
      <c r="C4" s="37">
        <v>0.5</v>
      </c>
      <c r="D4" s="70">
        <v>3.3</v>
      </c>
      <c r="E4" s="71">
        <v>4.5999999999999996</v>
      </c>
      <c r="F4" s="72">
        <v>13.4</v>
      </c>
    </row>
    <row r="5" spans="1:6" x14ac:dyDescent="0.2">
      <c r="A5" s="67" t="s">
        <v>87</v>
      </c>
      <c r="B5" s="36" t="s">
        <v>86</v>
      </c>
      <c r="C5" s="37">
        <v>0.3</v>
      </c>
      <c r="D5" s="70">
        <v>2.8000000000000003</v>
      </c>
      <c r="E5" s="71">
        <v>0.90000000000000013</v>
      </c>
      <c r="F5" s="72">
        <v>2.8000000000000003</v>
      </c>
    </row>
    <row r="6" spans="1:6" x14ac:dyDescent="0.2">
      <c r="A6" s="67" t="s">
        <v>88</v>
      </c>
      <c r="B6" s="36" t="s">
        <v>86</v>
      </c>
      <c r="C6" s="37">
        <v>0.3</v>
      </c>
      <c r="D6" s="70">
        <v>3.8</v>
      </c>
      <c r="E6" s="71">
        <v>4.4000000000000004</v>
      </c>
      <c r="F6" s="72">
        <v>7.5</v>
      </c>
    </row>
    <row r="7" spans="1:6" x14ac:dyDescent="0.2">
      <c r="A7" s="67" t="s">
        <v>89</v>
      </c>
      <c r="B7" s="36" t="s">
        <v>86</v>
      </c>
      <c r="C7" s="37">
        <v>0.3</v>
      </c>
      <c r="D7" s="70">
        <v>2.4</v>
      </c>
      <c r="E7" s="71">
        <v>1.7</v>
      </c>
      <c r="F7" s="72">
        <v>4.3</v>
      </c>
    </row>
    <row r="8" spans="1:6" x14ac:dyDescent="0.2">
      <c r="A8" s="67" t="s">
        <v>90</v>
      </c>
      <c r="B8" s="36" t="s">
        <v>86</v>
      </c>
      <c r="C8" s="37">
        <v>0.3</v>
      </c>
      <c r="D8" s="70">
        <v>3.6000000000000005</v>
      </c>
      <c r="E8" s="71">
        <v>3</v>
      </c>
      <c r="F8" s="72">
        <v>4</v>
      </c>
    </row>
    <row r="9" spans="1:6" x14ac:dyDescent="0.2">
      <c r="A9" s="36" t="s">
        <v>91</v>
      </c>
      <c r="B9" s="36" t="s">
        <v>92</v>
      </c>
      <c r="C9" s="37">
        <v>0.4</v>
      </c>
      <c r="D9" s="38">
        <v>3.2999999999999994</v>
      </c>
      <c r="E9" s="39">
        <v>4.0999999999999996</v>
      </c>
      <c r="F9" s="40">
        <v>8.9</v>
      </c>
    </row>
    <row r="10" spans="1:6" x14ac:dyDescent="0.2">
      <c r="A10" s="36" t="s">
        <v>93</v>
      </c>
      <c r="B10" s="36" t="s">
        <v>92</v>
      </c>
      <c r="C10" s="37">
        <v>0.4</v>
      </c>
      <c r="D10" s="38">
        <v>3.2</v>
      </c>
      <c r="E10" s="39">
        <v>1.8999999999999997</v>
      </c>
      <c r="F10" s="40">
        <v>6.2999999999999989</v>
      </c>
    </row>
    <row r="11" spans="1:6" x14ac:dyDescent="0.2">
      <c r="A11" s="36" t="s">
        <v>94</v>
      </c>
      <c r="B11" s="36" t="s">
        <v>92</v>
      </c>
      <c r="C11" s="37">
        <v>0.4</v>
      </c>
      <c r="D11" s="38">
        <v>3.1</v>
      </c>
      <c r="E11" s="39">
        <v>3.7999999999999994</v>
      </c>
      <c r="F11" s="40">
        <v>0</v>
      </c>
    </row>
    <row r="12" spans="1:6" x14ac:dyDescent="0.2">
      <c r="A12" s="36" t="s">
        <v>95</v>
      </c>
      <c r="B12" s="36" t="s">
        <v>92</v>
      </c>
      <c r="C12" s="37">
        <v>0.4</v>
      </c>
      <c r="D12" s="38">
        <v>2.2999999999999998</v>
      </c>
      <c r="E12" s="39">
        <v>5.2999999999999989</v>
      </c>
      <c r="F12" s="40">
        <v>4.5</v>
      </c>
    </row>
    <row r="13" spans="1:6" x14ac:dyDescent="0.2">
      <c r="A13" s="36" t="s">
        <v>96</v>
      </c>
      <c r="B13" s="36" t="s">
        <v>97</v>
      </c>
      <c r="C13" s="37">
        <v>0.5</v>
      </c>
      <c r="D13" s="38">
        <v>3.1</v>
      </c>
      <c r="E13" s="39">
        <v>4.7</v>
      </c>
      <c r="F13" s="40">
        <v>12.1</v>
      </c>
    </row>
    <row r="14" spans="1:6" x14ac:dyDescent="0.2">
      <c r="A14" s="36" t="s">
        <v>98</v>
      </c>
      <c r="B14" s="36" t="s">
        <v>97</v>
      </c>
      <c r="C14" s="37">
        <v>0.31</v>
      </c>
      <c r="D14" s="38">
        <v>4</v>
      </c>
      <c r="E14" s="39">
        <v>4.0999999999999996</v>
      </c>
      <c r="F14" s="40">
        <v>0</v>
      </c>
    </row>
    <row r="15" spans="1:6" x14ac:dyDescent="0.2">
      <c r="A15" s="36" t="s">
        <v>99</v>
      </c>
      <c r="B15" s="36" t="s">
        <v>100</v>
      </c>
      <c r="C15" s="37">
        <v>0.3</v>
      </c>
      <c r="D15" s="38">
        <v>2.6</v>
      </c>
      <c r="E15" s="39">
        <v>4.2</v>
      </c>
      <c r="F15" s="40">
        <v>2</v>
      </c>
    </row>
    <row r="16" spans="1:6" x14ac:dyDescent="0.2">
      <c r="A16" s="36" t="s">
        <v>101</v>
      </c>
      <c r="B16" s="36" t="s">
        <v>100</v>
      </c>
      <c r="C16" s="37">
        <v>0.3</v>
      </c>
      <c r="D16" s="38">
        <v>3.7</v>
      </c>
      <c r="E16" s="39">
        <v>5.3</v>
      </c>
      <c r="F16" s="40">
        <v>9.2000000000000011</v>
      </c>
    </row>
    <row r="17" spans="1:17" x14ac:dyDescent="0.2">
      <c r="A17" s="36" t="s">
        <v>102</v>
      </c>
      <c r="B17" s="36" t="s">
        <v>103</v>
      </c>
      <c r="C17" s="37">
        <v>0.4</v>
      </c>
      <c r="D17" s="38">
        <v>2.7</v>
      </c>
      <c r="E17" s="39">
        <v>3.9</v>
      </c>
      <c r="F17" s="40">
        <v>9.5999999999999979</v>
      </c>
    </row>
    <row r="18" spans="1:17" x14ac:dyDescent="0.2">
      <c r="A18" s="36" t="s">
        <v>104</v>
      </c>
      <c r="B18" s="36" t="s">
        <v>103</v>
      </c>
      <c r="C18" s="37">
        <v>0.4</v>
      </c>
      <c r="D18" s="38">
        <v>3</v>
      </c>
      <c r="E18" s="39">
        <v>3.2999999999999994</v>
      </c>
      <c r="F18" s="40">
        <v>3.7</v>
      </c>
    </row>
    <row r="19" spans="1:17" x14ac:dyDescent="0.2">
      <c r="A19" s="36" t="s">
        <v>105</v>
      </c>
      <c r="B19" s="36" t="s">
        <v>103</v>
      </c>
      <c r="C19" s="37">
        <v>0.4</v>
      </c>
      <c r="D19" s="38">
        <v>2.5</v>
      </c>
      <c r="E19" s="39">
        <v>5.5</v>
      </c>
      <c r="F19" s="40">
        <v>7</v>
      </c>
    </row>
    <row r="20" spans="1:17" x14ac:dyDescent="0.2">
      <c r="A20" s="36" t="s">
        <v>106</v>
      </c>
      <c r="B20" s="36" t="s">
        <v>103</v>
      </c>
      <c r="C20" s="37">
        <v>0.4</v>
      </c>
      <c r="D20" s="38">
        <v>3.2999999999999994</v>
      </c>
      <c r="E20" s="39">
        <v>1.3</v>
      </c>
      <c r="F20" s="40">
        <v>7.9</v>
      </c>
    </row>
    <row r="21" spans="1:17" x14ac:dyDescent="0.2">
      <c r="A21" s="36" t="s">
        <v>107</v>
      </c>
      <c r="B21" s="36" t="s">
        <v>103</v>
      </c>
      <c r="C21" s="37">
        <v>0.4</v>
      </c>
      <c r="D21" s="38">
        <v>2.5</v>
      </c>
      <c r="E21" s="39">
        <v>1.4</v>
      </c>
      <c r="F21" s="40">
        <v>5.4</v>
      </c>
    </row>
    <row r="22" spans="1:17" x14ac:dyDescent="0.2">
      <c r="A22" s="36" t="s">
        <v>108</v>
      </c>
      <c r="B22" s="36" t="s">
        <v>103</v>
      </c>
      <c r="C22" s="37">
        <v>0.125</v>
      </c>
      <c r="D22" s="38">
        <v>3.6</v>
      </c>
      <c r="E22" s="39">
        <v>2.9</v>
      </c>
      <c r="F22" s="40">
        <v>9.6</v>
      </c>
    </row>
    <row r="23" spans="1:17" x14ac:dyDescent="0.2">
      <c r="A23" s="36" t="s">
        <v>109</v>
      </c>
      <c r="B23" s="36" t="s">
        <v>103</v>
      </c>
      <c r="C23" s="37">
        <v>0.125</v>
      </c>
      <c r="D23" s="38">
        <v>3.5</v>
      </c>
      <c r="E23" s="39">
        <v>3.6</v>
      </c>
      <c r="F23" s="40">
        <v>3.7</v>
      </c>
    </row>
    <row r="24" spans="1:17" x14ac:dyDescent="0.2">
      <c r="A24" s="36" t="s">
        <v>110</v>
      </c>
      <c r="B24" s="36" t="s">
        <v>103</v>
      </c>
      <c r="C24" s="37">
        <v>0.125</v>
      </c>
      <c r="D24" s="38">
        <v>3.9</v>
      </c>
      <c r="E24" s="39">
        <v>6.1</v>
      </c>
      <c r="F24" s="40">
        <v>7.7</v>
      </c>
    </row>
    <row r="25" spans="1:17" x14ac:dyDescent="0.2">
      <c r="A25" s="36" t="s">
        <v>111</v>
      </c>
      <c r="B25" s="36" t="s">
        <v>103</v>
      </c>
      <c r="C25" s="37">
        <v>0.125</v>
      </c>
      <c r="D25" s="38">
        <v>2.7</v>
      </c>
      <c r="E25" s="39">
        <v>1</v>
      </c>
      <c r="F25" s="40">
        <v>7.8</v>
      </c>
    </row>
    <row r="26" spans="1:17" ht="13.5" thickBot="1" x14ac:dyDescent="0.25">
      <c r="A26" s="36" t="s">
        <v>112</v>
      </c>
      <c r="B26" s="36" t="s">
        <v>103</v>
      </c>
      <c r="C26" s="37">
        <v>0.125</v>
      </c>
      <c r="D26" s="41">
        <v>2.9</v>
      </c>
      <c r="E26" s="42">
        <v>2.2000000000000002</v>
      </c>
      <c r="F26" s="43">
        <v>2.5</v>
      </c>
    </row>
    <row r="28" spans="1:17" x14ac:dyDescent="0.2">
      <c r="G28" s="64"/>
      <c r="H28" s="64" t="s">
        <v>113</v>
      </c>
      <c r="I28" s="64"/>
      <c r="J28" s="64"/>
      <c r="K28" s="64"/>
      <c r="L28" s="64"/>
      <c r="M28" s="64"/>
      <c r="N28" s="64"/>
      <c r="O28" s="63"/>
      <c r="P28" s="63"/>
    </row>
    <row r="29" spans="1:17" ht="15" x14ac:dyDescent="0.25">
      <c r="G29" s="84">
        <v>1</v>
      </c>
      <c r="H29" s="83" t="s">
        <v>114</v>
      </c>
      <c r="I29" s="83"/>
      <c r="J29" s="83"/>
      <c r="K29" s="83"/>
      <c r="L29" s="83"/>
      <c r="M29" s="83"/>
      <c r="N29" s="83"/>
      <c r="O29" s="83"/>
      <c r="P29" s="63"/>
      <c r="Q29" s="90" t="s">
        <v>74</v>
      </c>
    </row>
    <row r="30" spans="1:17" ht="15" x14ac:dyDescent="0.25">
      <c r="G30" s="84">
        <v>2</v>
      </c>
      <c r="H30" s="83" t="s">
        <v>115</v>
      </c>
      <c r="I30" s="83"/>
      <c r="J30" s="83"/>
      <c r="K30" s="83"/>
      <c r="L30" s="83"/>
      <c r="M30" s="83"/>
      <c r="N30" s="83"/>
      <c r="O30" s="83"/>
      <c r="P30" s="63"/>
      <c r="Q30" s="90" t="s">
        <v>74</v>
      </c>
    </row>
    <row r="31" spans="1:17" ht="15" x14ac:dyDescent="0.25">
      <c r="G31" s="84">
        <v>3</v>
      </c>
      <c r="H31" s="83" t="s">
        <v>144</v>
      </c>
      <c r="I31" s="83"/>
      <c r="J31" s="83"/>
      <c r="K31" s="83"/>
      <c r="L31" s="83"/>
      <c r="M31" s="83"/>
      <c r="N31" s="83"/>
      <c r="O31" s="83"/>
      <c r="P31" s="63"/>
      <c r="Q31" s="90" t="s">
        <v>74</v>
      </c>
    </row>
    <row r="32" spans="1:17" ht="15" x14ac:dyDescent="0.25">
      <c r="G32" s="84">
        <v>4</v>
      </c>
      <c r="H32" s="83" t="s">
        <v>145</v>
      </c>
      <c r="I32" s="83"/>
      <c r="J32" s="83"/>
      <c r="K32" s="83"/>
      <c r="L32" s="83"/>
      <c r="M32" s="83"/>
      <c r="N32" s="83"/>
      <c r="O32" s="83"/>
      <c r="P32" s="63"/>
      <c r="Q32" s="90" t="s">
        <v>74</v>
      </c>
    </row>
    <row r="33" spans="7:8" x14ac:dyDescent="0.2">
      <c r="G33" s="45"/>
      <c r="H33" s="44"/>
    </row>
  </sheetData>
  <mergeCells count="1">
    <mergeCell ref="D1:F1"/>
  </mergeCells>
  <phoneticPr fontId="19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3E79-4245-4ECE-BF3A-7A423A7F7750}">
  <dimension ref="A1:R40"/>
  <sheetViews>
    <sheetView topLeftCell="A3" workbookViewId="0">
      <selection activeCell="O23" sqref="O23"/>
    </sheetView>
  </sheetViews>
  <sheetFormatPr defaultColWidth="8.85546875" defaultRowHeight="12.75" x14ac:dyDescent="0.2"/>
  <cols>
    <col min="1" max="1" width="5.28515625" style="34" customWidth="1"/>
    <col min="2" max="2" width="25.85546875" style="34" customWidth="1"/>
    <col min="3" max="3" width="20.28515625" style="34" customWidth="1"/>
    <col min="4" max="4" width="12.5703125" style="34" customWidth="1"/>
    <col min="5" max="5" width="13.140625" style="34" customWidth="1"/>
    <col min="6" max="6" width="9.5703125" style="34" customWidth="1"/>
    <col min="7" max="7" width="10" style="34" customWidth="1"/>
    <col min="8" max="8" width="14.28515625" style="34" customWidth="1"/>
    <col min="9" max="9" width="13.85546875" style="34" customWidth="1"/>
    <col min="10" max="10" width="11.140625" style="34" customWidth="1"/>
    <col min="11" max="11" width="12.7109375" style="34" customWidth="1"/>
    <col min="12" max="12" width="12.42578125" style="34" customWidth="1"/>
    <col min="13" max="13" width="22" style="34" customWidth="1"/>
    <col min="14" max="16384" width="8.85546875" style="34"/>
  </cols>
  <sheetData>
    <row r="1" spans="1:18" ht="15" x14ac:dyDescent="0.2">
      <c r="B1" s="94" t="s">
        <v>116</v>
      </c>
      <c r="C1" s="94"/>
      <c r="D1" s="94"/>
      <c r="E1" s="94"/>
      <c r="F1" s="94"/>
      <c r="H1" s="95" t="s">
        <v>117</v>
      </c>
      <c r="I1" s="96"/>
      <c r="J1" s="96"/>
      <c r="K1" s="97"/>
      <c r="L1" s="46"/>
    </row>
    <row r="2" spans="1:18" s="47" customFormat="1" ht="25.5" x14ac:dyDescent="0.2">
      <c r="B2" s="48"/>
      <c r="C2" s="49" t="s">
        <v>118</v>
      </c>
      <c r="D2" s="49" t="s">
        <v>119</v>
      </c>
      <c r="E2" s="49" t="s">
        <v>120</v>
      </c>
      <c r="F2" s="49" t="s">
        <v>121</v>
      </c>
      <c r="H2" s="50"/>
      <c r="I2" s="51" t="s">
        <v>122</v>
      </c>
      <c r="J2" s="51" t="s">
        <v>123</v>
      </c>
      <c r="K2" s="51" t="s">
        <v>124</v>
      </c>
    </row>
    <row r="3" spans="1:18" ht="30.75" customHeight="1" x14ac:dyDescent="0.2">
      <c r="B3" s="48" t="s">
        <v>125</v>
      </c>
      <c r="C3" s="52">
        <v>140</v>
      </c>
      <c r="D3" s="52">
        <v>130</v>
      </c>
      <c r="E3" s="52">
        <v>550</v>
      </c>
      <c r="F3" s="52">
        <v>4500</v>
      </c>
      <c r="H3" s="53" t="s">
        <v>126</v>
      </c>
      <c r="I3" s="87">
        <v>410</v>
      </c>
      <c r="J3" s="87">
        <v>930</v>
      </c>
      <c r="K3" s="88">
        <v>410</v>
      </c>
    </row>
    <row r="4" spans="1:18" ht="30.75" customHeight="1" x14ac:dyDescent="0.2">
      <c r="B4" s="48" t="s">
        <v>127</v>
      </c>
      <c r="C4" s="52">
        <v>120</v>
      </c>
      <c r="D4" s="52">
        <v>90</v>
      </c>
      <c r="E4" s="52">
        <v>420</v>
      </c>
      <c r="F4" s="52">
        <v>2900</v>
      </c>
      <c r="H4" s="64"/>
      <c r="I4" s="65" t="s">
        <v>113</v>
      </c>
      <c r="J4" s="63"/>
      <c r="K4" s="63"/>
      <c r="L4" s="63"/>
      <c r="M4" s="63"/>
      <c r="N4" s="63"/>
      <c r="O4" s="63"/>
      <c r="P4" s="63"/>
      <c r="Q4" s="63"/>
    </row>
    <row r="5" spans="1:18" ht="14.25" x14ac:dyDescent="0.2">
      <c r="B5" s="35" t="s">
        <v>128</v>
      </c>
      <c r="C5" s="52">
        <v>120</v>
      </c>
      <c r="D5" s="52">
        <v>100</v>
      </c>
      <c r="E5" s="52">
        <v>470</v>
      </c>
      <c r="F5" s="52">
        <v>3350</v>
      </c>
      <c r="H5" s="86">
        <v>5</v>
      </c>
      <c r="I5" s="85" t="s">
        <v>129</v>
      </c>
      <c r="J5" s="83"/>
      <c r="K5" s="83"/>
      <c r="L5" s="83"/>
      <c r="M5" s="83"/>
      <c r="N5" s="83"/>
      <c r="O5" s="83"/>
      <c r="P5" s="83"/>
      <c r="Q5" s="63"/>
      <c r="R5" s="90" t="s">
        <v>74</v>
      </c>
    </row>
    <row r="6" spans="1:18" ht="14.25" x14ac:dyDescent="0.2">
      <c r="B6" s="35" t="s">
        <v>130</v>
      </c>
      <c r="C6" s="52">
        <v>100</v>
      </c>
      <c r="D6" s="52">
        <v>80</v>
      </c>
      <c r="E6" s="55">
        <v>425</v>
      </c>
      <c r="F6" s="52">
        <v>2900</v>
      </c>
      <c r="H6" s="86">
        <v>6</v>
      </c>
      <c r="I6" s="85" t="s">
        <v>131</v>
      </c>
      <c r="J6" s="83"/>
      <c r="K6" s="83"/>
      <c r="L6" s="83"/>
      <c r="M6" s="83"/>
      <c r="N6" s="83"/>
      <c r="O6" s="83"/>
      <c r="P6" s="83"/>
      <c r="Q6" s="63"/>
      <c r="R6" s="90" t="s">
        <v>75</v>
      </c>
    </row>
    <row r="7" spans="1:18" ht="14.25" x14ac:dyDescent="0.2">
      <c r="B7" s="35" t="s">
        <v>132</v>
      </c>
      <c r="C7" s="52">
        <v>80</v>
      </c>
      <c r="D7" s="52">
        <v>80</v>
      </c>
      <c r="E7" s="52">
        <v>300</v>
      </c>
      <c r="F7" s="52">
        <v>2300</v>
      </c>
      <c r="H7" s="86">
        <v>7</v>
      </c>
      <c r="I7" s="85" t="s">
        <v>133</v>
      </c>
      <c r="J7" s="83"/>
      <c r="K7" s="83"/>
      <c r="L7" s="83"/>
      <c r="M7" s="83"/>
      <c r="N7" s="83"/>
      <c r="O7" s="83"/>
      <c r="P7" s="83"/>
      <c r="Q7" s="63"/>
      <c r="R7" s="90" t="s">
        <v>73</v>
      </c>
    </row>
    <row r="8" spans="1:18" ht="14.25" x14ac:dyDescent="0.2">
      <c r="B8" s="35" t="s">
        <v>134</v>
      </c>
      <c r="C8" s="52">
        <v>70</v>
      </c>
      <c r="D8" s="52">
        <v>65</v>
      </c>
      <c r="E8" s="52">
        <v>240</v>
      </c>
      <c r="F8" s="52">
        <v>1900</v>
      </c>
      <c r="H8" s="86">
        <v>8</v>
      </c>
      <c r="I8" s="85" t="s">
        <v>135</v>
      </c>
      <c r="J8" s="83"/>
      <c r="K8" s="83"/>
      <c r="L8" s="83"/>
      <c r="M8" s="83"/>
      <c r="N8" s="83"/>
      <c r="O8" s="83"/>
      <c r="P8" s="83"/>
      <c r="Q8" s="63"/>
      <c r="R8" s="90" t="s">
        <v>74</v>
      </c>
    </row>
    <row r="9" spans="1:18" ht="14.25" x14ac:dyDescent="0.2">
      <c r="B9" s="35" t="s">
        <v>136</v>
      </c>
      <c r="C9" s="52">
        <v>50</v>
      </c>
      <c r="D9" s="52">
        <v>50</v>
      </c>
      <c r="E9" s="52">
        <v>160</v>
      </c>
      <c r="F9" s="52">
        <v>1300</v>
      </c>
      <c r="H9" s="86">
        <v>9</v>
      </c>
      <c r="I9" s="85" t="s">
        <v>137</v>
      </c>
      <c r="J9" s="83"/>
      <c r="K9" s="83"/>
      <c r="L9" s="83"/>
      <c r="M9" s="83"/>
      <c r="N9" s="83"/>
      <c r="O9" s="83"/>
      <c r="P9" s="83"/>
      <c r="Q9" s="63"/>
      <c r="R9" s="90" t="s">
        <v>74</v>
      </c>
    </row>
    <row r="10" spans="1:18" x14ac:dyDescent="0.2">
      <c r="B10" s="33"/>
      <c r="C10" s="56"/>
      <c r="D10" s="56"/>
      <c r="E10" s="56"/>
      <c r="F10" s="56"/>
      <c r="H10" s="54"/>
      <c r="I10" s="44"/>
    </row>
    <row r="11" spans="1:18" ht="13.5" thickBot="1" x14ac:dyDescent="0.25"/>
    <row r="12" spans="1:18" s="33" customFormat="1" ht="27" customHeight="1" x14ac:dyDescent="0.2">
      <c r="E12" s="98" t="s">
        <v>76</v>
      </c>
      <c r="F12" s="99"/>
      <c r="G12" s="100"/>
      <c r="H12" s="98" t="s">
        <v>138</v>
      </c>
      <c r="I12" s="99"/>
      <c r="J12" s="100"/>
    </row>
    <row r="13" spans="1:18" s="33" customFormat="1" ht="27" customHeight="1" x14ac:dyDescent="0.2">
      <c r="A13" s="48" t="s">
        <v>139</v>
      </c>
      <c r="B13" s="48" t="s">
        <v>77</v>
      </c>
      <c r="C13" s="48" t="s">
        <v>78</v>
      </c>
      <c r="D13" s="57" t="s">
        <v>140</v>
      </c>
      <c r="E13" s="58" t="s">
        <v>80</v>
      </c>
      <c r="F13" s="48" t="s">
        <v>81</v>
      </c>
      <c r="G13" s="59" t="s">
        <v>82</v>
      </c>
      <c r="H13" s="58" t="s">
        <v>80</v>
      </c>
      <c r="I13" s="48" t="s">
        <v>81</v>
      </c>
      <c r="J13" s="59" t="s">
        <v>82</v>
      </c>
      <c r="K13" s="60" t="s">
        <v>141</v>
      </c>
      <c r="L13" s="48" t="s">
        <v>142</v>
      </c>
      <c r="M13" s="48" t="s">
        <v>143</v>
      </c>
    </row>
    <row r="14" spans="1:18" x14ac:dyDescent="0.2">
      <c r="A14" s="67">
        <v>1</v>
      </c>
      <c r="B14" s="36" t="s">
        <v>99</v>
      </c>
      <c r="C14" s="36" t="s">
        <v>100</v>
      </c>
      <c r="D14" s="61">
        <v>300</v>
      </c>
      <c r="E14" s="38">
        <v>2.6</v>
      </c>
      <c r="F14" s="39">
        <v>4.2</v>
      </c>
      <c r="G14" s="40">
        <v>2</v>
      </c>
      <c r="H14" s="66">
        <f>E14*D14/100</f>
        <v>7.8</v>
      </c>
      <c r="I14" s="67">
        <f>F14*D14/100</f>
        <v>12.6</v>
      </c>
      <c r="J14" s="68">
        <f>G14*D14/100</f>
        <v>6</v>
      </c>
      <c r="K14" s="69">
        <f>E14+F14+G14</f>
        <v>8.8000000000000007</v>
      </c>
      <c r="L14" s="67">
        <f>H14+I14+J14</f>
        <v>26.4</v>
      </c>
      <c r="M14" s="112">
        <f>J14/425</f>
        <v>1.411764705882353E-2</v>
      </c>
    </row>
    <row r="15" spans="1:18" x14ac:dyDescent="0.2">
      <c r="A15" s="67">
        <v>2</v>
      </c>
      <c r="B15" s="36" t="s">
        <v>96</v>
      </c>
      <c r="C15" s="36" t="s">
        <v>97</v>
      </c>
      <c r="D15" s="61">
        <v>500</v>
      </c>
      <c r="E15" s="38">
        <v>3.1</v>
      </c>
      <c r="F15" s="39">
        <v>4.7</v>
      </c>
      <c r="G15" s="40">
        <v>12.1</v>
      </c>
      <c r="H15" s="66">
        <f t="shared" ref="H15:H37" si="0">E15*D15/100</f>
        <v>15.5</v>
      </c>
      <c r="I15" s="67">
        <f t="shared" ref="I15:I37" si="1">F15*D15/100</f>
        <v>23.5</v>
      </c>
      <c r="J15" s="68">
        <f t="shared" ref="J15:J37" si="2">G15*D15/100</f>
        <v>60.5</v>
      </c>
      <c r="K15" s="69">
        <f t="shared" ref="K15:K37" si="3">E15+F15+G15</f>
        <v>19.899999999999999</v>
      </c>
      <c r="L15" s="67">
        <f t="shared" ref="L15:L37" si="4">H15+I15+J15</f>
        <v>99.5</v>
      </c>
      <c r="M15" s="112">
        <f t="shared" ref="M15:M37" si="5">J15/425</f>
        <v>0.1423529411764706</v>
      </c>
    </row>
    <row r="16" spans="1:18" x14ac:dyDescent="0.2">
      <c r="A16" s="67">
        <v>3</v>
      </c>
      <c r="B16" s="36" t="s">
        <v>91</v>
      </c>
      <c r="C16" s="36" t="s">
        <v>92</v>
      </c>
      <c r="D16" s="61">
        <v>400</v>
      </c>
      <c r="E16" s="38">
        <v>3.2999999999999994</v>
      </c>
      <c r="F16" s="39">
        <v>4.0999999999999996</v>
      </c>
      <c r="G16" s="40">
        <v>8.9</v>
      </c>
      <c r="H16" s="66">
        <f t="shared" si="0"/>
        <v>13.199999999999998</v>
      </c>
      <c r="I16" s="67">
        <f t="shared" si="1"/>
        <v>16.399999999999999</v>
      </c>
      <c r="J16" s="68">
        <f t="shared" si="2"/>
        <v>35.6</v>
      </c>
      <c r="K16" s="69">
        <f t="shared" si="3"/>
        <v>16.299999999999997</v>
      </c>
      <c r="L16" s="67">
        <f t="shared" si="4"/>
        <v>65.199999999999989</v>
      </c>
      <c r="M16" s="112">
        <f t="shared" si="5"/>
        <v>8.3764705882352949E-2</v>
      </c>
    </row>
    <row r="17" spans="1:13" x14ac:dyDescent="0.2">
      <c r="A17" s="67">
        <v>4</v>
      </c>
      <c r="B17" s="36" t="s">
        <v>83</v>
      </c>
      <c r="C17" s="36" t="s">
        <v>84</v>
      </c>
      <c r="D17" s="61">
        <v>150</v>
      </c>
      <c r="E17" s="38">
        <v>3</v>
      </c>
      <c r="F17" s="39">
        <v>3.4</v>
      </c>
      <c r="G17" s="40">
        <v>14</v>
      </c>
      <c r="H17" s="66">
        <f t="shared" si="0"/>
        <v>4.5</v>
      </c>
      <c r="I17" s="67">
        <f t="shared" si="1"/>
        <v>5.0999999999999996</v>
      </c>
      <c r="J17" s="68">
        <f t="shared" si="2"/>
        <v>21</v>
      </c>
      <c r="K17" s="69">
        <f t="shared" si="3"/>
        <v>20.399999999999999</v>
      </c>
      <c r="L17" s="67">
        <f t="shared" si="4"/>
        <v>30.6</v>
      </c>
      <c r="M17" s="112">
        <f t="shared" si="5"/>
        <v>4.9411764705882349E-2</v>
      </c>
    </row>
    <row r="18" spans="1:13" x14ac:dyDescent="0.2">
      <c r="A18" s="67">
        <v>5</v>
      </c>
      <c r="B18" s="36" t="s">
        <v>93</v>
      </c>
      <c r="C18" s="36" t="s">
        <v>92</v>
      </c>
      <c r="D18" s="61">
        <v>400</v>
      </c>
      <c r="E18" s="38">
        <v>3.2</v>
      </c>
      <c r="F18" s="39">
        <v>1.8999999999999997</v>
      </c>
      <c r="G18" s="40">
        <v>6.2999999999999989</v>
      </c>
      <c r="H18" s="66">
        <f t="shared" si="0"/>
        <v>12.8</v>
      </c>
      <c r="I18" s="67">
        <f t="shared" si="1"/>
        <v>7.5999999999999988</v>
      </c>
      <c r="J18" s="68">
        <f t="shared" si="2"/>
        <v>25.199999999999996</v>
      </c>
      <c r="K18" s="69">
        <f t="shared" si="3"/>
        <v>11.399999999999999</v>
      </c>
      <c r="L18" s="67">
        <f t="shared" si="4"/>
        <v>45.599999999999994</v>
      </c>
      <c r="M18" s="112">
        <f t="shared" si="5"/>
        <v>5.9294117647058817E-2</v>
      </c>
    </row>
    <row r="19" spans="1:13" x14ac:dyDescent="0.2">
      <c r="A19" s="67">
        <v>6</v>
      </c>
      <c r="B19" s="36" t="s">
        <v>94</v>
      </c>
      <c r="C19" s="36" t="s">
        <v>92</v>
      </c>
      <c r="D19" s="61">
        <v>400</v>
      </c>
      <c r="E19" s="38">
        <v>3.1</v>
      </c>
      <c r="F19" s="39">
        <v>3.7999999999999994</v>
      </c>
      <c r="G19" s="40">
        <v>0</v>
      </c>
      <c r="H19" s="66">
        <f t="shared" si="0"/>
        <v>12.4</v>
      </c>
      <c r="I19" s="67">
        <f t="shared" si="1"/>
        <v>15.199999999999998</v>
      </c>
      <c r="J19" s="68">
        <f t="shared" si="2"/>
        <v>0</v>
      </c>
      <c r="K19" s="69">
        <f t="shared" si="3"/>
        <v>6.8999999999999995</v>
      </c>
      <c r="L19" s="67">
        <f t="shared" si="4"/>
        <v>27.599999999999998</v>
      </c>
      <c r="M19" s="112">
        <f t="shared" si="5"/>
        <v>0</v>
      </c>
    </row>
    <row r="20" spans="1:13" x14ac:dyDescent="0.2">
      <c r="A20" s="67">
        <v>7</v>
      </c>
      <c r="B20" s="36" t="s">
        <v>95</v>
      </c>
      <c r="C20" s="36" t="s">
        <v>92</v>
      </c>
      <c r="D20" s="61">
        <v>400</v>
      </c>
      <c r="E20" s="38">
        <v>2.2999999999999998</v>
      </c>
      <c r="F20" s="39">
        <v>5.2999999999999989</v>
      </c>
      <c r="G20" s="40">
        <v>4.5</v>
      </c>
      <c r="H20" s="66">
        <f t="shared" si="0"/>
        <v>9.1999999999999993</v>
      </c>
      <c r="I20" s="67">
        <f t="shared" si="1"/>
        <v>21.199999999999996</v>
      </c>
      <c r="J20" s="68">
        <f t="shared" si="2"/>
        <v>18</v>
      </c>
      <c r="K20" s="69">
        <f t="shared" si="3"/>
        <v>12.099999999999998</v>
      </c>
      <c r="L20" s="67">
        <f t="shared" si="4"/>
        <v>48.399999999999991</v>
      </c>
      <c r="M20" s="112">
        <f t="shared" si="5"/>
        <v>4.2352941176470586E-2</v>
      </c>
    </row>
    <row r="21" spans="1:13" x14ac:dyDescent="0.2">
      <c r="A21" s="67">
        <v>8</v>
      </c>
      <c r="B21" s="36" t="s">
        <v>102</v>
      </c>
      <c r="C21" s="36" t="s">
        <v>103</v>
      </c>
      <c r="D21" s="61">
        <v>400</v>
      </c>
      <c r="E21" s="38">
        <v>2.7</v>
      </c>
      <c r="F21" s="39">
        <v>3.9</v>
      </c>
      <c r="G21" s="40">
        <v>9.5999999999999979</v>
      </c>
      <c r="H21" s="66">
        <f t="shared" si="0"/>
        <v>10.8</v>
      </c>
      <c r="I21" s="67">
        <f t="shared" si="1"/>
        <v>15.6</v>
      </c>
      <c r="J21" s="68">
        <f t="shared" si="2"/>
        <v>38.399999999999991</v>
      </c>
      <c r="K21" s="69">
        <f t="shared" si="3"/>
        <v>16.199999999999996</v>
      </c>
      <c r="L21" s="67">
        <f t="shared" si="4"/>
        <v>64.799999999999983</v>
      </c>
      <c r="M21" s="112">
        <f t="shared" si="5"/>
        <v>9.0352941176470566E-2</v>
      </c>
    </row>
    <row r="22" spans="1:13" x14ac:dyDescent="0.2">
      <c r="A22" s="67">
        <v>9</v>
      </c>
      <c r="B22" s="36" t="s">
        <v>104</v>
      </c>
      <c r="C22" s="36" t="s">
        <v>103</v>
      </c>
      <c r="D22" s="61">
        <v>400</v>
      </c>
      <c r="E22" s="38">
        <v>3</v>
      </c>
      <c r="F22" s="39">
        <v>3.2999999999999994</v>
      </c>
      <c r="G22" s="40">
        <v>3.7</v>
      </c>
      <c r="H22" s="66">
        <f t="shared" si="0"/>
        <v>12</v>
      </c>
      <c r="I22" s="67">
        <f t="shared" si="1"/>
        <v>13.199999999999998</v>
      </c>
      <c r="J22" s="68">
        <f t="shared" si="2"/>
        <v>14.8</v>
      </c>
      <c r="K22" s="69">
        <f t="shared" si="3"/>
        <v>10</v>
      </c>
      <c r="L22" s="67">
        <f t="shared" si="4"/>
        <v>40</v>
      </c>
      <c r="M22" s="112">
        <f t="shared" si="5"/>
        <v>3.4823529411764705E-2</v>
      </c>
    </row>
    <row r="23" spans="1:13" x14ac:dyDescent="0.2">
      <c r="A23" s="67">
        <v>10</v>
      </c>
      <c r="B23" s="36" t="s">
        <v>105</v>
      </c>
      <c r="C23" s="36" t="s">
        <v>103</v>
      </c>
      <c r="D23" s="61">
        <v>400</v>
      </c>
      <c r="E23" s="38">
        <v>2.5</v>
      </c>
      <c r="F23" s="39">
        <v>5.5</v>
      </c>
      <c r="G23" s="40">
        <v>7</v>
      </c>
      <c r="H23" s="66">
        <f t="shared" si="0"/>
        <v>10</v>
      </c>
      <c r="I23" s="67">
        <f t="shared" si="1"/>
        <v>22</v>
      </c>
      <c r="J23" s="68">
        <f t="shared" si="2"/>
        <v>28</v>
      </c>
      <c r="K23" s="69">
        <f t="shared" si="3"/>
        <v>15</v>
      </c>
      <c r="L23" s="67">
        <f t="shared" si="4"/>
        <v>60</v>
      </c>
      <c r="M23" s="112">
        <f t="shared" si="5"/>
        <v>6.5882352941176475E-2</v>
      </c>
    </row>
    <row r="24" spans="1:13" x14ac:dyDescent="0.2">
      <c r="A24" s="67">
        <v>11</v>
      </c>
      <c r="B24" s="36" t="s">
        <v>106</v>
      </c>
      <c r="C24" s="36" t="s">
        <v>103</v>
      </c>
      <c r="D24" s="61">
        <v>400</v>
      </c>
      <c r="E24" s="38">
        <v>3.2999999999999994</v>
      </c>
      <c r="F24" s="39">
        <v>1.3</v>
      </c>
      <c r="G24" s="40">
        <v>7.9</v>
      </c>
      <c r="H24" s="66">
        <f t="shared" si="0"/>
        <v>13.199999999999998</v>
      </c>
      <c r="I24" s="67">
        <f t="shared" si="1"/>
        <v>5.2</v>
      </c>
      <c r="J24" s="68">
        <f t="shared" si="2"/>
        <v>31.6</v>
      </c>
      <c r="K24" s="69">
        <f t="shared" si="3"/>
        <v>12.5</v>
      </c>
      <c r="L24" s="67">
        <f t="shared" si="4"/>
        <v>50</v>
      </c>
      <c r="M24" s="112">
        <f t="shared" si="5"/>
        <v>7.4352941176470594E-2</v>
      </c>
    </row>
    <row r="25" spans="1:13" x14ac:dyDescent="0.2">
      <c r="A25" s="67">
        <v>12</v>
      </c>
      <c r="B25" s="36" t="s">
        <v>107</v>
      </c>
      <c r="C25" s="36" t="s">
        <v>103</v>
      </c>
      <c r="D25" s="61">
        <v>400</v>
      </c>
      <c r="E25" s="38">
        <v>2.5</v>
      </c>
      <c r="F25" s="39">
        <v>1.4</v>
      </c>
      <c r="G25" s="40">
        <v>5.4</v>
      </c>
      <c r="H25" s="66">
        <f t="shared" si="0"/>
        <v>10</v>
      </c>
      <c r="I25" s="67">
        <f t="shared" si="1"/>
        <v>5.6</v>
      </c>
      <c r="J25" s="68">
        <f t="shared" si="2"/>
        <v>21.6</v>
      </c>
      <c r="K25" s="69">
        <f t="shared" si="3"/>
        <v>9.3000000000000007</v>
      </c>
      <c r="L25" s="67">
        <f t="shared" si="4"/>
        <v>37.200000000000003</v>
      </c>
      <c r="M25" s="112">
        <f t="shared" si="5"/>
        <v>5.0823529411764712E-2</v>
      </c>
    </row>
    <row r="26" spans="1:13" x14ac:dyDescent="0.2">
      <c r="A26" s="67">
        <v>13</v>
      </c>
      <c r="B26" s="36" t="s">
        <v>101</v>
      </c>
      <c r="C26" s="36" t="s">
        <v>100</v>
      </c>
      <c r="D26" s="61">
        <v>300</v>
      </c>
      <c r="E26" s="38">
        <v>3.7</v>
      </c>
      <c r="F26" s="39">
        <v>5.3</v>
      </c>
      <c r="G26" s="40">
        <v>9.2000000000000011</v>
      </c>
      <c r="H26" s="66">
        <f t="shared" si="0"/>
        <v>11.1</v>
      </c>
      <c r="I26" s="67">
        <f t="shared" si="1"/>
        <v>15.9</v>
      </c>
      <c r="J26" s="68">
        <f t="shared" si="2"/>
        <v>27.600000000000005</v>
      </c>
      <c r="K26" s="69">
        <f t="shared" si="3"/>
        <v>18.200000000000003</v>
      </c>
      <c r="L26" s="67">
        <f t="shared" si="4"/>
        <v>54.600000000000009</v>
      </c>
      <c r="M26" s="112">
        <f t="shared" si="5"/>
        <v>6.4941176470588252E-2</v>
      </c>
    </row>
    <row r="27" spans="1:13" x14ac:dyDescent="0.2">
      <c r="A27" s="67">
        <v>14</v>
      </c>
      <c r="B27" s="36" t="s">
        <v>85</v>
      </c>
      <c r="C27" s="36" t="s">
        <v>86</v>
      </c>
      <c r="D27" s="61">
        <v>500</v>
      </c>
      <c r="E27" s="38">
        <v>3.3</v>
      </c>
      <c r="F27" s="39">
        <v>4.5999999999999996</v>
      </c>
      <c r="G27" s="40">
        <v>13.4</v>
      </c>
      <c r="H27" s="66">
        <f t="shared" si="0"/>
        <v>16.5</v>
      </c>
      <c r="I27" s="67">
        <f t="shared" si="1"/>
        <v>23</v>
      </c>
      <c r="J27" s="68">
        <f t="shared" si="2"/>
        <v>67</v>
      </c>
      <c r="K27" s="69">
        <f t="shared" si="3"/>
        <v>21.3</v>
      </c>
      <c r="L27" s="67">
        <f t="shared" si="4"/>
        <v>106.5</v>
      </c>
      <c r="M27" s="112">
        <f t="shared" si="5"/>
        <v>0.15764705882352942</v>
      </c>
    </row>
    <row r="28" spans="1:13" x14ac:dyDescent="0.2">
      <c r="A28" s="67">
        <v>15</v>
      </c>
      <c r="B28" s="36" t="s">
        <v>108</v>
      </c>
      <c r="C28" s="36" t="s">
        <v>103</v>
      </c>
      <c r="D28" s="61">
        <v>125</v>
      </c>
      <c r="E28" s="38">
        <v>3.6</v>
      </c>
      <c r="F28" s="39">
        <v>2.9</v>
      </c>
      <c r="G28" s="40">
        <v>9.6</v>
      </c>
      <c r="H28" s="66">
        <f t="shared" si="0"/>
        <v>4.5</v>
      </c>
      <c r="I28" s="67">
        <f t="shared" si="1"/>
        <v>3.625</v>
      </c>
      <c r="J28" s="68">
        <f t="shared" si="2"/>
        <v>12</v>
      </c>
      <c r="K28" s="69">
        <f t="shared" si="3"/>
        <v>16.100000000000001</v>
      </c>
      <c r="L28" s="67">
        <f t="shared" si="4"/>
        <v>20.125</v>
      </c>
      <c r="M28" s="112">
        <f t="shared" si="5"/>
        <v>2.823529411764706E-2</v>
      </c>
    </row>
    <row r="29" spans="1:13" x14ac:dyDescent="0.2">
      <c r="A29" s="67">
        <v>16</v>
      </c>
      <c r="B29" s="36" t="s">
        <v>109</v>
      </c>
      <c r="C29" s="36" t="s">
        <v>103</v>
      </c>
      <c r="D29" s="61">
        <v>125</v>
      </c>
      <c r="E29" s="38">
        <v>3.5</v>
      </c>
      <c r="F29" s="39">
        <v>3.6</v>
      </c>
      <c r="G29" s="40">
        <v>3.7</v>
      </c>
      <c r="H29" s="66">
        <f t="shared" si="0"/>
        <v>4.375</v>
      </c>
      <c r="I29" s="67">
        <f t="shared" si="1"/>
        <v>4.5</v>
      </c>
      <c r="J29" s="68">
        <f t="shared" si="2"/>
        <v>4.625</v>
      </c>
      <c r="K29" s="69">
        <f t="shared" si="3"/>
        <v>10.8</v>
      </c>
      <c r="L29" s="67">
        <f t="shared" si="4"/>
        <v>13.5</v>
      </c>
      <c r="M29" s="112">
        <f t="shared" si="5"/>
        <v>1.088235294117647E-2</v>
      </c>
    </row>
    <row r="30" spans="1:13" x14ac:dyDescent="0.2">
      <c r="A30" s="67">
        <v>17</v>
      </c>
      <c r="B30" s="36" t="s">
        <v>110</v>
      </c>
      <c r="C30" s="36" t="s">
        <v>103</v>
      </c>
      <c r="D30" s="61">
        <v>125</v>
      </c>
      <c r="E30" s="38">
        <v>3.9</v>
      </c>
      <c r="F30" s="39">
        <v>6.1</v>
      </c>
      <c r="G30" s="40">
        <v>7.7</v>
      </c>
      <c r="H30" s="66">
        <f t="shared" si="0"/>
        <v>4.875</v>
      </c>
      <c r="I30" s="67">
        <f t="shared" si="1"/>
        <v>7.625</v>
      </c>
      <c r="J30" s="68">
        <f t="shared" si="2"/>
        <v>9.625</v>
      </c>
      <c r="K30" s="69">
        <f t="shared" si="3"/>
        <v>17.7</v>
      </c>
      <c r="L30" s="67">
        <f t="shared" si="4"/>
        <v>22.125</v>
      </c>
      <c r="M30" s="112">
        <f t="shared" si="5"/>
        <v>2.2647058823529412E-2</v>
      </c>
    </row>
    <row r="31" spans="1:13" x14ac:dyDescent="0.2">
      <c r="A31" s="67">
        <v>18</v>
      </c>
      <c r="B31" s="36" t="s">
        <v>87</v>
      </c>
      <c r="C31" s="36" t="s">
        <v>86</v>
      </c>
      <c r="D31" s="61">
        <v>300</v>
      </c>
      <c r="E31" s="38">
        <v>2.8000000000000003</v>
      </c>
      <c r="F31" s="39">
        <v>0.90000000000000013</v>
      </c>
      <c r="G31" s="40">
        <v>2.8000000000000003</v>
      </c>
      <c r="H31" s="66">
        <f t="shared" si="0"/>
        <v>8.4</v>
      </c>
      <c r="I31" s="67">
        <f t="shared" si="1"/>
        <v>2.7000000000000006</v>
      </c>
      <c r="J31" s="68">
        <f t="shared" si="2"/>
        <v>8.4</v>
      </c>
      <c r="K31" s="69">
        <f t="shared" si="3"/>
        <v>6.5</v>
      </c>
      <c r="L31" s="67">
        <f t="shared" si="4"/>
        <v>19.5</v>
      </c>
      <c r="M31" s="112">
        <f t="shared" si="5"/>
        <v>1.9764705882352941E-2</v>
      </c>
    </row>
    <row r="32" spans="1:13" x14ac:dyDescent="0.2">
      <c r="A32" s="67">
        <v>19</v>
      </c>
      <c r="B32" s="36" t="s">
        <v>88</v>
      </c>
      <c r="C32" s="36" t="s">
        <v>86</v>
      </c>
      <c r="D32" s="61">
        <v>300</v>
      </c>
      <c r="E32" s="38">
        <v>3.8</v>
      </c>
      <c r="F32" s="39">
        <v>4.4000000000000004</v>
      </c>
      <c r="G32" s="40">
        <v>7.5</v>
      </c>
      <c r="H32" s="66">
        <f t="shared" si="0"/>
        <v>11.4</v>
      </c>
      <c r="I32" s="67">
        <f t="shared" si="1"/>
        <v>13.2</v>
      </c>
      <c r="J32" s="68">
        <f t="shared" si="2"/>
        <v>22.5</v>
      </c>
      <c r="K32" s="69">
        <f t="shared" si="3"/>
        <v>15.7</v>
      </c>
      <c r="L32" s="67">
        <f t="shared" si="4"/>
        <v>47.1</v>
      </c>
      <c r="M32" s="112">
        <f t="shared" si="5"/>
        <v>5.2941176470588235E-2</v>
      </c>
    </row>
    <row r="33" spans="1:13" x14ac:dyDescent="0.2">
      <c r="A33" s="67">
        <v>20</v>
      </c>
      <c r="B33" s="36" t="s">
        <v>89</v>
      </c>
      <c r="C33" s="36" t="s">
        <v>86</v>
      </c>
      <c r="D33" s="61">
        <v>300</v>
      </c>
      <c r="E33" s="38">
        <v>2.4</v>
      </c>
      <c r="F33" s="39">
        <v>1.7</v>
      </c>
      <c r="G33" s="40">
        <v>4.3</v>
      </c>
      <c r="H33" s="66">
        <f t="shared" si="0"/>
        <v>7.2</v>
      </c>
      <c r="I33" s="67">
        <f t="shared" si="1"/>
        <v>5.0999999999999996</v>
      </c>
      <c r="J33" s="68">
        <f t="shared" si="2"/>
        <v>12.9</v>
      </c>
      <c r="K33" s="69">
        <f t="shared" si="3"/>
        <v>8.3999999999999986</v>
      </c>
      <c r="L33" s="67">
        <f t="shared" si="4"/>
        <v>25.200000000000003</v>
      </c>
      <c r="M33" s="112">
        <f t="shared" si="5"/>
        <v>3.0352941176470589E-2</v>
      </c>
    </row>
    <row r="34" spans="1:13" x14ac:dyDescent="0.2">
      <c r="A34" s="67">
        <v>21</v>
      </c>
      <c r="B34" s="36" t="s">
        <v>90</v>
      </c>
      <c r="C34" s="36" t="s">
        <v>86</v>
      </c>
      <c r="D34" s="61">
        <v>300</v>
      </c>
      <c r="E34" s="38">
        <v>3.6000000000000005</v>
      </c>
      <c r="F34" s="39">
        <v>3</v>
      </c>
      <c r="G34" s="40">
        <v>4</v>
      </c>
      <c r="H34" s="66">
        <f t="shared" si="0"/>
        <v>10.800000000000002</v>
      </c>
      <c r="I34" s="67">
        <f t="shared" si="1"/>
        <v>9</v>
      </c>
      <c r="J34" s="68">
        <f t="shared" si="2"/>
        <v>12</v>
      </c>
      <c r="K34" s="69">
        <f t="shared" si="3"/>
        <v>10.600000000000001</v>
      </c>
      <c r="L34" s="67">
        <f t="shared" si="4"/>
        <v>31.800000000000004</v>
      </c>
      <c r="M34" s="112">
        <f t="shared" si="5"/>
        <v>2.823529411764706E-2</v>
      </c>
    </row>
    <row r="35" spans="1:13" x14ac:dyDescent="0.2">
      <c r="A35" s="67">
        <v>22</v>
      </c>
      <c r="B35" s="36" t="s">
        <v>98</v>
      </c>
      <c r="C35" s="36" t="s">
        <v>97</v>
      </c>
      <c r="D35" s="61">
        <v>310</v>
      </c>
      <c r="E35" s="38">
        <v>4</v>
      </c>
      <c r="F35" s="39">
        <v>4.0999999999999996</v>
      </c>
      <c r="G35" s="40">
        <v>0</v>
      </c>
      <c r="H35" s="66">
        <f t="shared" si="0"/>
        <v>12.4</v>
      </c>
      <c r="I35" s="67">
        <f t="shared" si="1"/>
        <v>12.71</v>
      </c>
      <c r="J35" s="68">
        <f t="shared" si="2"/>
        <v>0</v>
      </c>
      <c r="K35" s="69">
        <f t="shared" si="3"/>
        <v>8.1</v>
      </c>
      <c r="L35" s="67">
        <f t="shared" si="4"/>
        <v>25.11</v>
      </c>
      <c r="M35" s="112">
        <f t="shared" si="5"/>
        <v>0</v>
      </c>
    </row>
    <row r="36" spans="1:13" x14ac:dyDescent="0.2">
      <c r="A36" s="67">
        <v>23</v>
      </c>
      <c r="B36" s="36" t="s">
        <v>111</v>
      </c>
      <c r="C36" s="36" t="s">
        <v>103</v>
      </c>
      <c r="D36" s="61">
        <v>125</v>
      </c>
      <c r="E36" s="38">
        <v>2.7</v>
      </c>
      <c r="F36" s="39">
        <v>1</v>
      </c>
      <c r="G36" s="40">
        <v>7.8</v>
      </c>
      <c r="H36" s="66">
        <f t="shared" si="0"/>
        <v>3.375</v>
      </c>
      <c r="I36" s="67">
        <f t="shared" si="1"/>
        <v>1.25</v>
      </c>
      <c r="J36" s="68">
        <f t="shared" si="2"/>
        <v>9.75</v>
      </c>
      <c r="K36" s="69">
        <f t="shared" si="3"/>
        <v>11.5</v>
      </c>
      <c r="L36" s="67">
        <f t="shared" si="4"/>
        <v>14.375</v>
      </c>
      <c r="M36" s="112">
        <f t="shared" si="5"/>
        <v>2.2941176470588236E-2</v>
      </c>
    </row>
    <row r="37" spans="1:13" ht="13.5" thickBot="1" x14ac:dyDescent="0.25">
      <c r="A37" s="67">
        <v>24</v>
      </c>
      <c r="B37" s="36" t="s">
        <v>112</v>
      </c>
      <c r="C37" s="36" t="s">
        <v>103</v>
      </c>
      <c r="D37" s="61">
        <v>125</v>
      </c>
      <c r="E37" s="41">
        <v>2.9</v>
      </c>
      <c r="F37" s="42">
        <v>2.2000000000000002</v>
      </c>
      <c r="G37" s="43">
        <v>2.5</v>
      </c>
      <c r="H37" s="66">
        <f t="shared" si="0"/>
        <v>3.625</v>
      </c>
      <c r="I37" s="67">
        <f t="shared" si="1"/>
        <v>2.75</v>
      </c>
      <c r="J37" s="68">
        <f t="shared" si="2"/>
        <v>3.125</v>
      </c>
      <c r="K37" s="69">
        <f t="shared" si="3"/>
        <v>7.6</v>
      </c>
      <c r="L37" s="67">
        <f t="shared" si="4"/>
        <v>9.5</v>
      </c>
      <c r="M37" s="112">
        <f t="shared" si="5"/>
        <v>7.3529411764705881E-3</v>
      </c>
    </row>
    <row r="38" spans="1:13" x14ac:dyDescent="0.2">
      <c r="G38" s="62"/>
    </row>
    <row r="39" spans="1:13" x14ac:dyDescent="0.2">
      <c r="G39" s="62"/>
    </row>
    <row r="40" spans="1:13" x14ac:dyDescent="0.2">
      <c r="G40" s="62"/>
    </row>
  </sheetData>
  <mergeCells count="4">
    <mergeCell ref="B1:F1"/>
    <mergeCell ref="H1:K1"/>
    <mergeCell ref="E12:G12"/>
    <mergeCell ref="H12:J12"/>
  </mergeCells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I45" sqref="I45"/>
    </sheetView>
  </sheetViews>
  <sheetFormatPr defaultColWidth="9.140625" defaultRowHeight="15" customHeight="1" x14ac:dyDescent="0.2"/>
  <cols>
    <col min="1" max="1" width="51.28515625" customWidth="1"/>
    <col min="2" max="2" width="38.140625" style="6" customWidth="1"/>
    <col min="4" max="4" width="27" customWidth="1"/>
    <col min="6" max="6" width="33.7109375" customWidth="1"/>
  </cols>
  <sheetData>
    <row r="1" spans="1:6" ht="15" customHeight="1" x14ac:dyDescent="0.2">
      <c r="A1" s="101" t="s">
        <v>17</v>
      </c>
      <c r="B1" s="102"/>
      <c r="D1" s="114">
        <v>42016</v>
      </c>
      <c r="F1" s="7">
        <v>42007</v>
      </c>
    </row>
    <row r="2" spans="1:6" ht="15" customHeight="1" x14ac:dyDescent="0.2">
      <c r="A2" s="5" t="s">
        <v>18</v>
      </c>
      <c r="B2" s="113">
        <v>41883</v>
      </c>
      <c r="F2" s="7"/>
    </row>
    <row r="3" spans="1:6" ht="15" customHeight="1" x14ac:dyDescent="0.2">
      <c r="A3" s="5" t="s">
        <v>19</v>
      </c>
      <c r="B3" s="113">
        <v>42153</v>
      </c>
      <c r="F3" s="7"/>
    </row>
    <row r="4" spans="1:6" ht="15" customHeight="1" x14ac:dyDescent="0.2">
      <c r="A4" s="5" t="s">
        <v>20</v>
      </c>
      <c r="B4" s="113">
        <v>42139</v>
      </c>
      <c r="F4" s="7"/>
    </row>
    <row r="5" spans="1:6" ht="15" customHeight="1" x14ac:dyDescent="0.2">
      <c r="A5" s="5" t="s">
        <v>21</v>
      </c>
      <c r="B5" s="113">
        <v>41939</v>
      </c>
      <c r="F5" s="7"/>
    </row>
    <row r="6" spans="1:6" ht="15" customHeight="1" x14ac:dyDescent="0.2">
      <c r="A6" s="5" t="s">
        <v>22</v>
      </c>
      <c r="B6" s="113">
        <v>41943</v>
      </c>
      <c r="F6" s="7"/>
    </row>
    <row r="7" spans="1:6" ht="15" customHeight="1" x14ac:dyDescent="0.2">
      <c r="A7" s="5" t="s">
        <v>23</v>
      </c>
      <c r="B7" s="113">
        <v>41995</v>
      </c>
      <c r="F7" s="7"/>
    </row>
    <row r="8" spans="1:6" ht="15" customHeight="1" x14ac:dyDescent="0.2">
      <c r="A8" s="5" t="s">
        <v>24</v>
      </c>
      <c r="B8" s="113">
        <v>42006</v>
      </c>
      <c r="F8" s="7">
        <v>42014</v>
      </c>
    </row>
    <row r="9" spans="1:6" ht="15" customHeight="1" x14ac:dyDescent="0.2">
      <c r="A9" s="5" t="s">
        <v>25</v>
      </c>
      <c r="B9" s="113">
        <v>42079</v>
      </c>
      <c r="F9" s="7">
        <v>42021</v>
      </c>
    </row>
    <row r="10" spans="1:6" ht="15" customHeight="1" x14ac:dyDescent="0.2">
      <c r="A10" s="5" t="s">
        <v>26</v>
      </c>
      <c r="B10" s="113">
        <v>42083</v>
      </c>
      <c r="F10" s="7"/>
    </row>
    <row r="11" spans="1:6" ht="15" customHeight="1" x14ac:dyDescent="0.2">
      <c r="A11" s="5" t="s">
        <v>27</v>
      </c>
      <c r="B11" s="113">
        <v>42086</v>
      </c>
      <c r="F11" s="7"/>
    </row>
    <row r="12" spans="1:6" ht="15" customHeight="1" x14ac:dyDescent="0.2">
      <c r="A12" s="5" t="s">
        <v>28</v>
      </c>
      <c r="B12" s="113">
        <v>42090</v>
      </c>
      <c r="F12" s="7"/>
    </row>
    <row r="13" spans="1:6" ht="15" customHeight="1" x14ac:dyDescent="0.2">
      <c r="F13" s="7"/>
    </row>
    <row r="14" spans="1:6" ht="15" customHeight="1" x14ac:dyDescent="0.2">
      <c r="A14" s="2">
        <v>10</v>
      </c>
      <c r="B14" s="103" t="s">
        <v>146</v>
      </c>
      <c r="F14" s="7"/>
    </row>
    <row r="15" spans="1:6" ht="15" customHeight="1" x14ac:dyDescent="0.2">
      <c r="A15" s="2"/>
      <c r="B15" s="103"/>
      <c r="C15" t="s">
        <v>74</v>
      </c>
      <c r="F15" s="7"/>
    </row>
    <row r="16" spans="1:6" ht="15" customHeight="1" x14ac:dyDescent="0.2">
      <c r="A16" s="2"/>
      <c r="B16" s="103"/>
      <c r="F16" s="7">
        <v>42028</v>
      </c>
    </row>
    <row r="17" spans="1:6" ht="15" customHeight="1" x14ac:dyDescent="0.2">
      <c r="A17" s="2"/>
      <c r="F17" s="7">
        <v>42035</v>
      </c>
    </row>
    <row r="18" spans="1:6" ht="15" customHeight="1" x14ac:dyDescent="0.2">
      <c r="A18" s="2">
        <v>11</v>
      </c>
      <c r="B18" s="103" t="s">
        <v>147</v>
      </c>
      <c r="F18" s="7">
        <v>42007</v>
      </c>
    </row>
    <row r="19" spans="1:6" ht="15" customHeight="1" x14ac:dyDescent="0.2">
      <c r="A19" s="2"/>
      <c r="B19" s="103"/>
      <c r="C19" t="s">
        <v>74</v>
      </c>
      <c r="F19" s="7"/>
    </row>
    <row r="20" spans="1:6" ht="15" customHeight="1" x14ac:dyDescent="0.2">
      <c r="A20" s="2"/>
      <c r="B20" s="103"/>
      <c r="F20" s="7"/>
    </row>
    <row r="21" spans="1:6" ht="15" customHeight="1" x14ac:dyDescent="0.2">
      <c r="A21" s="2"/>
      <c r="F21" s="7"/>
    </row>
    <row r="22" spans="1:6" ht="15" customHeight="1" x14ac:dyDescent="0.2">
      <c r="A22" s="2">
        <v>12</v>
      </c>
      <c r="B22" s="103" t="s">
        <v>148</v>
      </c>
      <c r="F22" s="7"/>
    </row>
    <row r="23" spans="1:6" ht="15" customHeight="1" x14ac:dyDescent="0.2">
      <c r="B23" s="103"/>
      <c r="C23" t="s">
        <v>74</v>
      </c>
      <c r="F23" s="7"/>
    </row>
    <row r="24" spans="1:6" ht="15" customHeight="1" x14ac:dyDescent="0.2">
      <c r="B24" s="103"/>
      <c r="F24" s="7"/>
    </row>
    <row r="25" spans="1:6" ht="15" customHeight="1" x14ac:dyDescent="0.2">
      <c r="F25" s="7">
        <v>42014</v>
      </c>
    </row>
    <row r="26" spans="1:6" ht="15" customHeight="1" x14ac:dyDescent="0.2">
      <c r="F26" s="7">
        <v>42021</v>
      </c>
    </row>
    <row r="27" spans="1:6" ht="15" customHeight="1" x14ac:dyDescent="0.2">
      <c r="F27" s="7"/>
    </row>
    <row r="28" spans="1:6" ht="15" customHeight="1" x14ac:dyDescent="0.2">
      <c r="F28" s="7"/>
    </row>
    <row r="29" spans="1:6" ht="15" customHeight="1" x14ac:dyDescent="0.2">
      <c r="F29" s="7"/>
    </row>
    <row r="30" spans="1:6" ht="15" customHeight="1" x14ac:dyDescent="0.2">
      <c r="F30" s="7"/>
    </row>
    <row r="31" spans="1:6" ht="15" customHeight="1" x14ac:dyDescent="0.2">
      <c r="F31" s="7"/>
    </row>
    <row r="32" spans="1:6" ht="15" customHeight="1" x14ac:dyDescent="0.2">
      <c r="F32" s="7"/>
    </row>
    <row r="33" spans="6:6" ht="15" customHeight="1" x14ac:dyDescent="0.2">
      <c r="F33" s="7">
        <v>42028</v>
      </c>
    </row>
    <row r="34" spans="6:6" ht="15" customHeight="1" x14ac:dyDescent="0.2">
      <c r="F34" s="7">
        <v>42035</v>
      </c>
    </row>
    <row r="35" spans="6:6" ht="15" customHeight="1" x14ac:dyDescent="0.2">
      <c r="F35" s="7">
        <v>42007</v>
      </c>
    </row>
    <row r="36" spans="6:6" ht="15" customHeight="1" x14ac:dyDescent="0.2">
      <c r="F36" s="7"/>
    </row>
    <row r="37" spans="6:6" ht="15" customHeight="1" x14ac:dyDescent="0.2">
      <c r="F37" s="7"/>
    </row>
    <row r="38" spans="6:6" ht="15" customHeight="1" x14ac:dyDescent="0.2">
      <c r="F38" s="7"/>
    </row>
    <row r="39" spans="6:6" ht="15" customHeight="1" x14ac:dyDescent="0.2">
      <c r="F39" s="7"/>
    </row>
    <row r="40" spans="6:6" ht="15" customHeight="1" x14ac:dyDescent="0.2">
      <c r="F40" s="7"/>
    </row>
    <row r="41" spans="6:6" ht="15" customHeight="1" x14ac:dyDescent="0.2">
      <c r="F41" s="7"/>
    </row>
    <row r="42" spans="6:6" ht="15" customHeight="1" x14ac:dyDescent="0.2">
      <c r="F42" s="7">
        <v>42014</v>
      </c>
    </row>
    <row r="43" spans="6:6" ht="15" customHeight="1" x14ac:dyDescent="0.2">
      <c r="F43" s="7">
        <v>42021</v>
      </c>
    </row>
    <row r="44" spans="6:6" ht="15" customHeight="1" x14ac:dyDescent="0.2">
      <c r="F44" s="7"/>
    </row>
    <row r="45" spans="6:6" ht="15" customHeight="1" x14ac:dyDescent="0.2">
      <c r="F45" s="7"/>
    </row>
    <row r="46" spans="6:6" ht="15" customHeight="1" x14ac:dyDescent="0.2">
      <c r="F46" s="7"/>
    </row>
    <row r="47" spans="6:6" ht="15" customHeight="1" x14ac:dyDescent="0.2">
      <c r="F47" s="7"/>
    </row>
    <row r="48" spans="6:6" ht="15" customHeight="1" x14ac:dyDescent="0.2">
      <c r="F48" s="7"/>
    </row>
    <row r="49" spans="6:6" ht="15" customHeight="1" x14ac:dyDescent="0.2">
      <c r="F49" s="7"/>
    </row>
    <row r="50" spans="6:6" ht="15" customHeight="1" x14ac:dyDescent="0.2">
      <c r="F50" s="7">
        <v>42028</v>
      </c>
    </row>
    <row r="51" spans="6:6" ht="15" customHeight="1" x14ac:dyDescent="0.2">
      <c r="F51" s="7">
        <v>42035</v>
      </c>
    </row>
    <row r="52" spans="6:6" ht="15" customHeight="1" x14ac:dyDescent="0.2">
      <c r="F52" s="7">
        <v>42007</v>
      </c>
    </row>
  </sheetData>
  <mergeCells count="4">
    <mergeCell ref="A1:B1"/>
    <mergeCell ref="B14:B16"/>
    <mergeCell ref="B18:B20"/>
    <mergeCell ref="B22:B24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1"/>
  <sheetViews>
    <sheetView topLeftCell="A18" zoomScaleNormal="100" workbookViewId="0">
      <selection activeCell="O68" sqref="O68"/>
    </sheetView>
  </sheetViews>
  <sheetFormatPr defaultColWidth="9.140625" defaultRowHeight="13.9" customHeight="1" x14ac:dyDescent="0.2"/>
  <cols>
    <col min="1" max="6" width="6.7109375" style="1" customWidth="1"/>
    <col min="7" max="9" width="8.85546875" style="6" customWidth="1"/>
    <col min="10" max="10" width="8.85546875" style="75" customWidth="1"/>
    <col min="11" max="13" width="8.85546875" style="6" customWidth="1"/>
    <col min="14" max="14" width="8.85546875" style="1" customWidth="1"/>
    <col min="15" max="15" width="12.28515625" style="32" customWidth="1"/>
    <col min="16" max="16384" width="9.140625" style="1"/>
  </cols>
  <sheetData>
    <row r="1" spans="1:20" ht="13.5" customHeight="1" x14ac:dyDescent="0.2">
      <c r="A1" s="4" t="s">
        <v>13</v>
      </c>
      <c r="I1" s="107"/>
      <c r="J1" s="107"/>
      <c r="K1" s="107"/>
      <c r="L1" s="107"/>
      <c r="M1" s="107"/>
      <c r="N1" s="107"/>
    </row>
    <row r="2" spans="1:20" ht="13.9" customHeight="1" x14ac:dyDescent="0.2">
      <c r="A2" s="106" t="s">
        <v>12</v>
      </c>
      <c r="B2" s="106"/>
      <c r="C2" s="106"/>
      <c r="D2" s="106"/>
      <c r="E2" s="106"/>
      <c r="F2" s="106"/>
    </row>
    <row r="3" spans="1:20" s="3" customFormat="1" ht="13.9" customHeigh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73" t="s">
        <v>6</v>
      </c>
      <c r="H3" s="73" t="s">
        <v>7</v>
      </c>
      <c r="I3" s="73" t="s">
        <v>8</v>
      </c>
      <c r="J3" s="76" t="s">
        <v>9</v>
      </c>
      <c r="K3" s="73" t="s">
        <v>14</v>
      </c>
      <c r="L3" s="73" t="s">
        <v>15</v>
      </c>
      <c r="M3" s="73" t="s">
        <v>16</v>
      </c>
      <c r="N3" s="3" t="s">
        <v>10</v>
      </c>
      <c r="O3" s="32"/>
    </row>
    <row r="4" spans="1:20" ht="13.9" customHeight="1" x14ac:dyDescent="0.2">
      <c r="A4" s="8">
        <v>88</v>
      </c>
      <c r="B4" s="8">
        <v>-95</v>
      </c>
      <c r="C4" s="8">
        <v>88</v>
      </c>
      <c r="D4" s="8">
        <v>-88</v>
      </c>
      <c r="E4" s="8">
        <v>45</v>
      </c>
      <c r="F4" s="8">
        <v>-57</v>
      </c>
      <c r="G4" s="74">
        <v>5.6787319569256987</v>
      </c>
      <c r="H4" s="74">
        <v>125.78897345918337</v>
      </c>
      <c r="I4" s="74">
        <v>48.532294583890852</v>
      </c>
      <c r="J4" s="77">
        <v>300.99999999999989</v>
      </c>
      <c r="K4" s="74">
        <v>7</v>
      </c>
      <c r="L4" s="74">
        <v>53.009433122794285</v>
      </c>
      <c r="M4" s="74">
        <v>57.384666941614292</v>
      </c>
      <c r="N4" s="8" t="str">
        <f>IF(G4&gt;H904&gt;I904&gt;90,"ir šaurleņķa","nav šaurleņķa")</f>
        <v>ir šaurleņķa</v>
      </c>
    </row>
    <row r="5" spans="1:20" ht="13.9" customHeight="1" x14ac:dyDescent="0.2">
      <c r="A5" s="8">
        <v>-20</v>
      </c>
      <c r="B5" s="8">
        <v>22</v>
      </c>
      <c r="C5" s="8">
        <v>51</v>
      </c>
      <c r="D5" s="8">
        <v>-7</v>
      </c>
      <c r="E5" s="8">
        <v>45</v>
      </c>
      <c r="F5" s="8">
        <v>5</v>
      </c>
      <c r="G5" s="74">
        <v>131.22180229283833</v>
      </c>
      <c r="H5" s="74">
        <v>41.217354553403638</v>
      </c>
      <c r="I5" s="74">
        <v>7.5608431537578991</v>
      </c>
      <c r="J5" s="77">
        <v>677.99999999999932</v>
      </c>
      <c r="K5" s="74">
        <v>76.694197955256044</v>
      </c>
      <c r="L5" s="74">
        <v>13.416407864998739</v>
      </c>
      <c r="M5" s="74">
        <v>67.186308128963304</v>
      </c>
      <c r="N5" s="8" t="str">
        <f t="shared" ref="N5:N68" si="0">IF(G5&gt;H905&gt;I905&gt;90,"ir šaurleņķa","nav šaurleņķa")</f>
        <v>ir šaurleņķa</v>
      </c>
      <c r="O5" s="32">
        <v>13</v>
      </c>
      <c r="P5" s="104" t="s">
        <v>149</v>
      </c>
      <c r="Q5" s="104"/>
      <c r="R5" s="104"/>
      <c r="S5" s="104"/>
      <c r="T5" s="1" t="s">
        <v>74</v>
      </c>
    </row>
    <row r="6" spans="1:20" ht="13.9" customHeight="1" x14ac:dyDescent="0.2">
      <c r="A6" s="8">
        <v>-11</v>
      </c>
      <c r="B6" s="8">
        <v>-72</v>
      </c>
      <c r="C6" s="8">
        <v>-27</v>
      </c>
      <c r="D6" s="8">
        <v>29</v>
      </c>
      <c r="E6" s="8">
        <v>28</v>
      </c>
      <c r="F6" s="8">
        <v>29</v>
      </c>
      <c r="G6" s="74">
        <v>68.886499921634737</v>
      </c>
      <c r="H6" s="74">
        <v>80.998244877438694</v>
      </c>
      <c r="I6" s="74">
        <v>30.11525520092658</v>
      </c>
      <c r="J6" s="77">
        <v>5555</v>
      </c>
      <c r="K6" s="74">
        <v>102.25947388873072</v>
      </c>
      <c r="L6" s="74">
        <v>55</v>
      </c>
      <c r="M6" s="74">
        <v>108.26818553942798</v>
      </c>
      <c r="N6" s="8" t="str">
        <f t="shared" si="0"/>
        <v>ir šaurleņķa</v>
      </c>
      <c r="O6" s="1"/>
    </row>
    <row r="7" spans="1:20" ht="13.9" customHeight="1" x14ac:dyDescent="0.2">
      <c r="A7" s="8">
        <v>59</v>
      </c>
      <c r="B7" s="8">
        <v>-33</v>
      </c>
      <c r="C7" s="8">
        <v>-55</v>
      </c>
      <c r="D7" s="8">
        <v>51</v>
      </c>
      <c r="E7" s="8">
        <v>-16</v>
      </c>
      <c r="F7" s="8">
        <v>45</v>
      </c>
      <c r="G7" s="74">
        <v>142.62285954847974</v>
      </c>
      <c r="H7" s="74">
        <v>27.63818955328054</v>
      </c>
      <c r="I7" s="74">
        <v>9.7389508982393789</v>
      </c>
      <c r="J7" s="77">
        <v>2591.9999999999886</v>
      </c>
      <c r="K7" s="74">
        <v>141.60508465447137</v>
      </c>
      <c r="L7" s="74">
        <v>39.45883931389772</v>
      </c>
      <c r="M7" s="74">
        <v>108.2081327812286</v>
      </c>
      <c r="N7" s="8" t="str">
        <f t="shared" si="0"/>
        <v>ir šaurleņķa</v>
      </c>
      <c r="O7" s="1"/>
    </row>
    <row r="8" spans="1:20" ht="13.9" customHeight="1" x14ac:dyDescent="0.2">
      <c r="A8" s="8">
        <v>-97</v>
      </c>
      <c r="B8" s="8">
        <v>76</v>
      </c>
      <c r="C8" s="8">
        <v>84</v>
      </c>
      <c r="D8" s="8">
        <v>-55</v>
      </c>
      <c r="E8" s="8">
        <v>45</v>
      </c>
      <c r="F8" s="8">
        <v>-32</v>
      </c>
      <c r="G8" s="74">
        <v>173.27441644635621</v>
      </c>
      <c r="H8" s="74">
        <v>5.3656932346629675</v>
      </c>
      <c r="I8" s="74">
        <v>1.3598903189777165</v>
      </c>
      <c r="J8" s="77">
        <v>945.99999999986926</v>
      </c>
      <c r="K8" s="74">
        <v>223.4323163734378</v>
      </c>
      <c r="L8" s="74">
        <v>45.276925690687087</v>
      </c>
      <c r="M8" s="74">
        <v>178.40403582878949</v>
      </c>
      <c r="N8" s="8" t="str">
        <f t="shared" si="0"/>
        <v>ir šaurleņķa</v>
      </c>
      <c r="O8" s="32">
        <v>14</v>
      </c>
      <c r="P8" s="104" t="s">
        <v>150</v>
      </c>
      <c r="Q8" s="104"/>
      <c r="R8" s="104"/>
      <c r="S8" s="104"/>
      <c r="T8" s="1" t="s">
        <v>74</v>
      </c>
    </row>
    <row r="9" spans="1:20" ht="13.9" customHeight="1" x14ac:dyDescent="0.2">
      <c r="A9" s="8">
        <v>40</v>
      </c>
      <c r="B9" s="8">
        <v>91</v>
      </c>
      <c r="C9" s="8">
        <v>59</v>
      </c>
      <c r="D9" s="8">
        <v>-27</v>
      </c>
      <c r="E9" s="8">
        <v>-69</v>
      </c>
      <c r="F9" s="8">
        <v>93</v>
      </c>
      <c r="G9" s="74">
        <v>42.101208984461692</v>
      </c>
      <c r="H9" s="74">
        <v>37.700529881119472</v>
      </c>
      <c r="I9" s="74">
        <v>100.19826113441894</v>
      </c>
      <c r="J9" s="77">
        <v>12824.000000000007</v>
      </c>
      <c r="K9" s="74">
        <v>119.5198728245642</v>
      </c>
      <c r="L9" s="74">
        <v>175.45369759569047</v>
      </c>
      <c r="M9" s="74">
        <v>109.01834707974616</v>
      </c>
      <c r="N9" s="8" t="str">
        <f t="shared" si="0"/>
        <v>ir šaurleņķa</v>
      </c>
      <c r="O9" s="1"/>
      <c r="P9" s="104"/>
      <c r="Q9" s="104"/>
      <c r="R9" s="104"/>
      <c r="S9" s="104"/>
    </row>
    <row r="10" spans="1:20" ht="13.9" customHeight="1" x14ac:dyDescent="0.2">
      <c r="A10" s="8">
        <v>-33</v>
      </c>
      <c r="B10" s="8">
        <v>-71</v>
      </c>
      <c r="C10" s="8">
        <v>-37</v>
      </c>
      <c r="D10" s="8">
        <v>1</v>
      </c>
      <c r="E10" s="8">
        <v>-96</v>
      </c>
      <c r="F10" s="8">
        <v>76</v>
      </c>
      <c r="G10" s="74">
        <v>14.992359306738443</v>
      </c>
      <c r="H10" s="74">
        <v>144.98888029947761</v>
      </c>
      <c r="I10" s="74">
        <v>20.018760393783925</v>
      </c>
      <c r="J10" s="77">
        <v>3948.0000000000041</v>
      </c>
      <c r="K10" s="74">
        <v>72.111025509279784</v>
      </c>
      <c r="L10" s="74">
        <v>95.425363504678359</v>
      </c>
      <c r="M10" s="74">
        <v>159.93123522314207</v>
      </c>
      <c r="N10" s="8" t="str">
        <f t="shared" si="0"/>
        <v>ir šaurleņķa</v>
      </c>
      <c r="O10" s="1"/>
    </row>
    <row r="11" spans="1:20" ht="13.9" customHeight="1" x14ac:dyDescent="0.2">
      <c r="A11" s="8">
        <v>-16</v>
      </c>
      <c r="B11" s="8">
        <v>65</v>
      </c>
      <c r="C11" s="8">
        <v>-63</v>
      </c>
      <c r="D11" s="8">
        <v>49</v>
      </c>
      <c r="E11" s="8">
        <v>-92</v>
      </c>
      <c r="F11" s="8">
        <v>-91</v>
      </c>
      <c r="G11" s="74">
        <v>14.271492482209874</v>
      </c>
      <c r="H11" s="74">
        <v>120.50278663887401</v>
      </c>
      <c r="I11" s="74">
        <v>45.225720878915915</v>
      </c>
      <c r="J11" s="77">
        <v>6116.0000000000009</v>
      </c>
      <c r="K11" s="74">
        <v>49.648766349225639</v>
      </c>
      <c r="L11" s="74">
        <v>142.97202523570826</v>
      </c>
      <c r="M11" s="74">
        <v>173.5280957078709</v>
      </c>
      <c r="N11" s="8" t="str">
        <f t="shared" si="0"/>
        <v>ir šaurleņķa</v>
      </c>
      <c r="O11" s="1"/>
    </row>
    <row r="12" spans="1:20" ht="13.9" customHeight="1" x14ac:dyDescent="0.2">
      <c r="A12" s="8">
        <v>17</v>
      </c>
      <c r="B12" s="8">
        <v>-12</v>
      </c>
      <c r="C12" s="8">
        <v>76</v>
      </c>
      <c r="D12" s="8">
        <v>-83</v>
      </c>
      <c r="E12" s="8">
        <v>88</v>
      </c>
      <c r="F12" s="8">
        <v>98</v>
      </c>
      <c r="G12" s="74">
        <v>29.047339989784838</v>
      </c>
      <c r="H12" s="74">
        <v>43.519168324336846</v>
      </c>
      <c r="I12" s="74">
        <v>107.43349168587828</v>
      </c>
      <c r="J12" s="77">
        <v>11530.999999999993</v>
      </c>
      <c r="K12" s="74">
        <v>92.314679222754165</v>
      </c>
      <c r="L12" s="74">
        <v>181.39735389470266</v>
      </c>
      <c r="M12" s="74">
        <v>130.92364186807515</v>
      </c>
      <c r="N12" s="8" t="str">
        <f t="shared" si="0"/>
        <v>ir šaurleņķa</v>
      </c>
      <c r="O12" s="32">
        <v>15</v>
      </c>
      <c r="P12" s="105" t="s">
        <v>151</v>
      </c>
      <c r="Q12" s="105"/>
      <c r="R12" s="105"/>
      <c r="S12" s="105"/>
      <c r="T12" s="1" t="s">
        <v>73</v>
      </c>
    </row>
    <row r="13" spans="1:20" ht="13.9" customHeight="1" x14ac:dyDescent="0.2">
      <c r="A13" s="8">
        <v>24</v>
      </c>
      <c r="B13" s="8">
        <v>86</v>
      </c>
      <c r="C13" s="8">
        <v>-51</v>
      </c>
      <c r="D13" s="8">
        <v>-37</v>
      </c>
      <c r="E13" s="8">
        <v>95</v>
      </c>
      <c r="F13" s="8">
        <v>-84</v>
      </c>
      <c r="G13" s="74">
        <v>49.4879972923734</v>
      </c>
      <c r="H13" s="74">
        <v>76.471286468166937</v>
      </c>
      <c r="I13" s="74">
        <v>54.04071623945979</v>
      </c>
      <c r="J13" s="77">
        <v>21483</v>
      </c>
      <c r="K13" s="74">
        <v>144.06248644251562</v>
      </c>
      <c r="L13" s="74">
        <v>153.37861650177967</v>
      </c>
      <c r="M13" s="74">
        <v>184.23083346714796</v>
      </c>
      <c r="N13" s="8" t="str">
        <f t="shared" si="0"/>
        <v>ir šaurleņķa</v>
      </c>
      <c r="P13" s="105"/>
      <c r="Q13" s="105"/>
      <c r="R13" s="105"/>
      <c r="S13" s="105"/>
    </row>
    <row r="14" spans="1:20" ht="13.9" customHeight="1" x14ac:dyDescent="0.2">
      <c r="A14" s="8">
        <v>5</v>
      </c>
      <c r="B14" s="8">
        <v>-43</v>
      </c>
      <c r="C14" s="8">
        <v>-92</v>
      </c>
      <c r="D14" s="8">
        <v>-48</v>
      </c>
      <c r="E14" s="8">
        <v>52</v>
      </c>
      <c r="F14" s="8">
        <v>86</v>
      </c>
      <c r="G14" s="74">
        <v>27.041350629939124</v>
      </c>
      <c r="H14" s="74">
        <v>39.989109867270514</v>
      </c>
      <c r="I14" s="74">
        <v>112.96953950279031</v>
      </c>
      <c r="J14" s="77">
        <v>12277.999999999998</v>
      </c>
      <c r="K14" s="74">
        <v>97.128780492704635</v>
      </c>
      <c r="L14" s="74">
        <v>196.70282153543198</v>
      </c>
      <c r="M14" s="74">
        <v>137.2953021774598</v>
      </c>
      <c r="N14" s="8" t="str">
        <f t="shared" si="0"/>
        <v>ir šaurleņķa</v>
      </c>
      <c r="P14" s="105"/>
      <c r="Q14" s="105"/>
      <c r="R14" s="105"/>
      <c r="S14" s="105"/>
    </row>
    <row r="15" spans="1:20" ht="13.9" customHeight="1" x14ac:dyDescent="0.2">
      <c r="A15" s="8">
        <v>22</v>
      </c>
      <c r="B15" s="8">
        <v>-51</v>
      </c>
      <c r="C15" s="8">
        <v>-39</v>
      </c>
      <c r="D15" s="8">
        <v>-68</v>
      </c>
      <c r="E15" s="8">
        <v>-45</v>
      </c>
      <c r="F15" s="8">
        <v>8</v>
      </c>
      <c r="G15" s="74">
        <v>44.118962281486922</v>
      </c>
      <c r="H15" s="74">
        <v>78.941444861190973</v>
      </c>
      <c r="I15" s="74">
        <v>56.939592857322033</v>
      </c>
      <c r="J15" s="77">
        <v>4738</v>
      </c>
      <c r="K15" s="74">
        <v>63.324560795950255</v>
      </c>
      <c r="L15" s="74">
        <v>76.236474210183673</v>
      </c>
      <c r="M15" s="74">
        <v>89.274856482662571</v>
      </c>
      <c r="N15" s="8" t="str">
        <f t="shared" si="0"/>
        <v>ir šaurleņķa</v>
      </c>
      <c r="P15" s="105"/>
      <c r="Q15" s="105"/>
      <c r="R15" s="105"/>
      <c r="S15" s="105"/>
    </row>
    <row r="16" spans="1:20" ht="13.9" customHeight="1" x14ac:dyDescent="0.2">
      <c r="A16" s="8">
        <v>-57</v>
      </c>
      <c r="B16" s="8">
        <v>69</v>
      </c>
      <c r="C16" s="8">
        <v>-58</v>
      </c>
      <c r="D16" s="8">
        <v>-52</v>
      </c>
      <c r="E16" s="8">
        <v>99</v>
      </c>
      <c r="F16" s="8">
        <v>-16</v>
      </c>
      <c r="G16" s="74">
        <v>41.499352366121457</v>
      </c>
      <c r="H16" s="74">
        <v>76.611859898944061</v>
      </c>
      <c r="I16" s="74">
        <v>61.888787734934468</v>
      </c>
      <c r="J16" s="77">
        <v>18961</v>
      </c>
      <c r="K16" s="74">
        <v>121.00413216084813</v>
      </c>
      <c r="L16" s="74">
        <v>161.07451691686057</v>
      </c>
      <c r="M16" s="74">
        <v>177.65415840897168</v>
      </c>
      <c r="N16" s="8" t="str">
        <f t="shared" si="0"/>
        <v>ir šaurleņķa</v>
      </c>
      <c r="P16" s="105"/>
      <c r="Q16" s="105"/>
      <c r="R16" s="105"/>
      <c r="S16" s="105"/>
    </row>
    <row r="17" spans="1:19" ht="13.9" customHeight="1" x14ac:dyDescent="0.2">
      <c r="A17" s="8">
        <v>-11</v>
      </c>
      <c r="B17" s="8">
        <v>-19</v>
      </c>
      <c r="C17" s="8">
        <v>-47</v>
      </c>
      <c r="D17" s="8">
        <v>-9</v>
      </c>
      <c r="E17" s="8">
        <v>67</v>
      </c>
      <c r="F17" s="8">
        <v>6</v>
      </c>
      <c r="G17" s="74">
        <v>10.275463183178827</v>
      </c>
      <c r="H17" s="74">
        <v>23.019968636484098</v>
      </c>
      <c r="I17" s="74">
        <v>146.70456818033699</v>
      </c>
      <c r="J17" s="77">
        <v>1679.9999999999989</v>
      </c>
      <c r="K17" s="74">
        <v>37.363083384538811</v>
      </c>
      <c r="L17" s="74">
        <v>114.9826073804208</v>
      </c>
      <c r="M17" s="74">
        <v>81.908485518900903</v>
      </c>
      <c r="N17" s="8" t="str">
        <f t="shared" si="0"/>
        <v>ir šaurleņķa</v>
      </c>
      <c r="P17" s="105"/>
      <c r="Q17" s="105"/>
      <c r="R17" s="105"/>
      <c r="S17" s="105"/>
    </row>
    <row r="18" spans="1:19" ht="13.9" customHeight="1" x14ac:dyDescent="0.2">
      <c r="A18" s="8">
        <v>-89</v>
      </c>
      <c r="B18" s="8">
        <v>-79</v>
      </c>
      <c r="C18" s="8">
        <v>-47</v>
      </c>
      <c r="D18" s="8">
        <v>10</v>
      </c>
      <c r="E18" s="8">
        <v>49</v>
      </c>
      <c r="F18" s="8">
        <v>4</v>
      </c>
      <c r="G18" s="74">
        <v>34.601108753559139</v>
      </c>
      <c r="H18" s="74">
        <v>111.68676412950171</v>
      </c>
      <c r="I18" s="74">
        <v>33.712127116939051</v>
      </c>
      <c r="J18" s="77">
        <v>8796.0000000000036</v>
      </c>
      <c r="K18" s="74">
        <v>98.412397592986224</v>
      </c>
      <c r="L18" s="74">
        <v>96.187317251288391</v>
      </c>
      <c r="M18" s="74">
        <v>161.0372627685903</v>
      </c>
      <c r="N18" s="8" t="str">
        <f t="shared" si="0"/>
        <v>ir šaurleņķa</v>
      </c>
      <c r="P18" s="105"/>
      <c r="Q18" s="105"/>
      <c r="R18" s="105"/>
      <c r="S18" s="105"/>
    </row>
    <row r="19" spans="1:19" ht="13.9" customHeight="1" x14ac:dyDescent="0.2">
      <c r="A19" s="8">
        <v>76</v>
      </c>
      <c r="B19" s="8">
        <v>33</v>
      </c>
      <c r="C19" s="8">
        <v>-54</v>
      </c>
      <c r="D19" s="8">
        <v>-14</v>
      </c>
      <c r="E19" s="8">
        <v>-85</v>
      </c>
      <c r="F19" s="8">
        <v>52</v>
      </c>
      <c r="G19" s="74">
        <v>58.110214149352643</v>
      </c>
      <c r="H19" s="74">
        <v>95.282429721428329</v>
      </c>
      <c r="I19" s="74">
        <v>26.607356129218918</v>
      </c>
      <c r="J19" s="77">
        <v>10037</v>
      </c>
      <c r="K19" s="74">
        <v>138.23530663329106</v>
      </c>
      <c r="L19" s="74">
        <v>72.917761896536561</v>
      </c>
      <c r="M19" s="74">
        <v>162.11724152600181</v>
      </c>
      <c r="N19" s="8" t="str">
        <f t="shared" si="0"/>
        <v>ir šaurleņķa</v>
      </c>
    </row>
    <row r="20" spans="1:19" ht="13.9" customHeight="1" x14ac:dyDescent="0.2">
      <c r="A20" s="8">
        <v>-16</v>
      </c>
      <c r="B20" s="8">
        <v>4</v>
      </c>
      <c r="C20" s="8">
        <v>-64</v>
      </c>
      <c r="D20" s="8">
        <v>-56</v>
      </c>
      <c r="E20" s="8">
        <v>27</v>
      </c>
      <c r="F20" s="8">
        <v>83</v>
      </c>
      <c r="G20" s="74">
        <v>4.652196222572746</v>
      </c>
      <c r="H20" s="74">
        <v>5.4479915531980865</v>
      </c>
      <c r="I20" s="74">
        <v>169.89981222423003</v>
      </c>
      <c r="J20" s="77">
        <v>1212.000000000083</v>
      </c>
      <c r="K20" s="74">
        <v>76.837490849194182</v>
      </c>
      <c r="L20" s="74">
        <v>166.13849644197458</v>
      </c>
      <c r="M20" s="74">
        <v>89.944427287075428</v>
      </c>
      <c r="N20" s="8" t="str">
        <f t="shared" si="0"/>
        <v>ir šaurleņķa</v>
      </c>
    </row>
    <row r="21" spans="1:19" ht="13.9" customHeight="1" x14ac:dyDescent="0.2">
      <c r="A21" s="8">
        <v>74</v>
      </c>
      <c r="B21" s="8">
        <v>40</v>
      </c>
      <c r="C21" s="8">
        <v>73</v>
      </c>
      <c r="D21" s="8">
        <v>54</v>
      </c>
      <c r="E21" s="8">
        <v>65</v>
      </c>
      <c r="F21" s="8">
        <v>-7</v>
      </c>
      <c r="G21" s="74">
        <v>3.3687462777377619</v>
      </c>
      <c r="H21" s="74">
        <v>11.557175956567132</v>
      </c>
      <c r="I21" s="74">
        <v>165.07407776569448</v>
      </c>
      <c r="J21" s="77">
        <v>172.99999999999821</v>
      </c>
      <c r="K21" s="74">
        <v>14.035668847618199</v>
      </c>
      <c r="L21" s="74">
        <v>61.522353661088097</v>
      </c>
      <c r="M21" s="74">
        <v>47.853944456021594</v>
      </c>
      <c r="N21" s="8" t="str">
        <f t="shared" si="0"/>
        <v>ir šaurleņķa</v>
      </c>
    </row>
    <row r="22" spans="1:19" ht="13.9" customHeight="1" x14ac:dyDescent="0.2">
      <c r="A22" s="8">
        <v>-40</v>
      </c>
      <c r="B22" s="8">
        <v>70</v>
      </c>
      <c r="C22" s="8">
        <v>-73</v>
      </c>
      <c r="D22" s="8">
        <v>-23</v>
      </c>
      <c r="E22" s="8">
        <v>-73</v>
      </c>
      <c r="F22" s="8">
        <v>62</v>
      </c>
      <c r="G22" s="74">
        <v>103.62699485989158</v>
      </c>
      <c r="H22" s="74">
        <v>19.536654938128425</v>
      </c>
      <c r="I22" s="74">
        <v>56.836350201980132</v>
      </c>
      <c r="J22" s="77">
        <v>2805.0000000000059</v>
      </c>
      <c r="K22" s="74">
        <v>98.681305220391167</v>
      </c>
      <c r="L22" s="74">
        <v>85</v>
      </c>
      <c r="M22" s="74">
        <v>33.955853692699293</v>
      </c>
      <c r="N22" s="8" t="str">
        <f t="shared" si="0"/>
        <v>ir šaurleņķa</v>
      </c>
    </row>
    <row r="23" spans="1:19" ht="13.9" customHeight="1" x14ac:dyDescent="0.2">
      <c r="A23" s="8">
        <v>25</v>
      </c>
      <c r="B23" s="8">
        <v>-15</v>
      </c>
      <c r="C23" s="8">
        <v>21</v>
      </c>
      <c r="D23" s="8">
        <v>-24</v>
      </c>
      <c r="E23" s="8">
        <v>-91</v>
      </c>
      <c r="F23" s="8">
        <v>1</v>
      </c>
      <c r="G23" s="74">
        <v>4.7296491920983499</v>
      </c>
      <c r="H23" s="74">
        <v>101.37952648050118</v>
      </c>
      <c r="I23" s="74">
        <v>73.890824327399969</v>
      </c>
      <c r="J23" s="77">
        <v>1108.0000000000002</v>
      </c>
      <c r="K23" s="74">
        <v>9.8488578017961039</v>
      </c>
      <c r="L23" s="74">
        <v>114.75626344561765</v>
      </c>
      <c r="M23" s="74">
        <v>117.09824934643558</v>
      </c>
      <c r="N23" s="8" t="str">
        <f t="shared" si="0"/>
        <v>ir šaurleņķa</v>
      </c>
    </row>
    <row r="24" spans="1:19" ht="13.9" customHeight="1" x14ac:dyDescent="0.2">
      <c r="A24" s="8">
        <v>44</v>
      </c>
      <c r="B24" s="8">
        <v>-21</v>
      </c>
      <c r="C24" s="8">
        <v>20</v>
      </c>
      <c r="D24" s="8">
        <v>90</v>
      </c>
      <c r="E24" s="8">
        <v>-1</v>
      </c>
      <c r="F24" s="8">
        <v>90</v>
      </c>
      <c r="G24" s="74">
        <v>67.932100437589838</v>
      </c>
      <c r="H24" s="74">
        <v>102.20046872738082</v>
      </c>
      <c r="I24" s="74">
        <v>9.8674308350294542</v>
      </c>
      <c r="J24" s="77">
        <v>2331</v>
      </c>
      <c r="K24" s="74">
        <v>113.5649593844862</v>
      </c>
      <c r="L24" s="74">
        <v>21</v>
      </c>
      <c r="M24" s="74">
        <v>119.77478866606278</v>
      </c>
      <c r="N24" s="8" t="str">
        <f t="shared" si="0"/>
        <v>ir šaurleņķa</v>
      </c>
    </row>
    <row r="25" spans="1:19" ht="13.9" customHeight="1" x14ac:dyDescent="0.2">
      <c r="A25" s="8">
        <v>-70</v>
      </c>
      <c r="B25" s="8">
        <v>93</v>
      </c>
      <c r="C25" s="8">
        <v>-21</v>
      </c>
      <c r="D25" s="8">
        <v>-73</v>
      </c>
      <c r="E25" s="8">
        <v>-56</v>
      </c>
      <c r="F25" s="8">
        <v>-16</v>
      </c>
      <c r="G25" s="74">
        <v>155.76763442727699</v>
      </c>
      <c r="H25" s="74">
        <v>15.105800504816937</v>
      </c>
      <c r="I25" s="74">
        <v>9.1265650679062649</v>
      </c>
      <c r="J25" s="77">
        <v>3017.0000000000146</v>
      </c>
      <c r="K25" s="74">
        <v>173.08090593707902</v>
      </c>
      <c r="L25" s="74">
        <v>66.887966032762577</v>
      </c>
      <c r="M25" s="74">
        <v>109.89540481748998</v>
      </c>
      <c r="N25" s="8" t="str">
        <f t="shared" si="0"/>
        <v>ir šaurleņķa</v>
      </c>
    </row>
    <row r="26" spans="1:19" ht="13.9" customHeight="1" x14ac:dyDescent="0.2">
      <c r="A26" s="8">
        <v>81</v>
      </c>
      <c r="B26" s="8">
        <v>-52</v>
      </c>
      <c r="C26" s="8">
        <v>74</v>
      </c>
      <c r="D26" s="8">
        <v>27</v>
      </c>
      <c r="E26" s="8">
        <v>75</v>
      </c>
      <c r="F26" s="8">
        <v>14</v>
      </c>
      <c r="G26" s="74">
        <v>179.20427644725643</v>
      </c>
      <c r="H26" s="74">
        <v>0.66491149802808469</v>
      </c>
      <c r="I26" s="74">
        <v>0.13081205468418922</v>
      </c>
      <c r="J26" s="77">
        <v>11.999999999883267</v>
      </c>
      <c r="K26" s="74">
        <v>79.309520235593411</v>
      </c>
      <c r="L26" s="74">
        <v>13.038404810405298</v>
      </c>
      <c r="M26" s="74">
        <v>66.272166103123567</v>
      </c>
      <c r="N26" s="8" t="str">
        <f t="shared" si="0"/>
        <v>ir šaurleņķa</v>
      </c>
    </row>
    <row r="27" spans="1:19" ht="13.9" customHeight="1" x14ac:dyDescent="0.2">
      <c r="A27" s="8">
        <v>84</v>
      </c>
      <c r="B27" s="8">
        <v>69</v>
      </c>
      <c r="C27" s="8">
        <v>37</v>
      </c>
      <c r="D27" s="8">
        <v>-3</v>
      </c>
      <c r="E27" s="8">
        <v>54</v>
      </c>
      <c r="F27" s="8">
        <v>-71</v>
      </c>
      <c r="G27" s="74">
        <v>26.131000544938516</v>
      </c>
      <c r="H27" s="74">
        <v>132.8281469833546</v>
      </c>
      <c r="I27" s="74">
        <v>21.040852471706689</v>
      </c>
      <c r="J27" s="77">
        <v>4420.0000000000018</v>
      </c>
      <c r="K27" s="74">
        <v>85.982556370463882</v>
      </c>
      <c r="L27" s="74">
        <v>70.092795635500224</v>
      </c>
      <c r="M27" s="74">
        <v>143.17821063276352</v>
      </c>
      <c r="N27" s="8" t="str">
        <f t="shared" si="0"/>
        <v>ir šaurleņķa</v>
      </c>
    </row>
    <row r="28" spans="1:19" ht="13.9" customHeight="1" x14ac:dyDescent="0.2">
      <c r="A28" s="8">
        <v>-53</v>
      </c>
      <c r="B28" s="8">
        <v>-86</v>
      </c>
      <c r="C28" s="8">
        <v>33</v>
      </c>
      <c r="D28" s="8">
        <v>13</v>
      </c>
      <c r="E28" s="8">
        <v>-27</v>
      </c>
      <c r="F28" s="8">
        <v>68</v>
      </c>
      <c r="G28" s="74">
        <v>57.072497645531726</v>
      </c>
      <c r="H28" s="74">
        <v>91.530029565838305</v>
      </c>
      <c r="I28" s="74">
        <v>31.397472788629969</v>
      </c>
      <c r="J28" s="77">
        <v>10670</v>
      </c>
      <c r="K28" s="74">
        <v>131.13733259449805</v>
      </c>
      <c r="L28" s="74">
        <v>81.394102980498531</v>
      </c>
      <c r="M28" s="74">
        <v>156.17938404283711</v>
      </c>
      <c r="N28" s="8" t="str">
        <f t="shared" si="0"/>
        <v>ir šaurleņķa</v>
      </c>
    </row>
    <row r="29" spans="1:19" ht="13.9" customHeight="1" x14ac:dyDescent="0.2">
      <c r="A29" s="8">
        <v>88</v>
      </c>
      <c r="B29" s="8">
        <v>77</v>
      </c>
      <c r="C29" s="8">
        <v>-9</v>
      </c>
      <c r="D29" s="8">
        <v>-11</v>
      </c>
      <c r="E29" s="8">
        <v>78</v>
      </c>
      <c r="F29" s="8">
        <v>-86</v>
      </c>
      <c r="G29" s="74">
        <v>52.747073229326141</v>
      </c>
      <c r="H29" s="74">
        <v>82.978438778826785</v>
      </c>
      <c r="I29" s="74">
        <v>44.274487991846996</v>
      </c>
      <c r="J29" s="77">
        <v>14930.999999999998</v>
      </c>
      <c r="K29" s="74">
        <v>130.96946208945045</v>
      </c>
      <c r="L29" s="74">
        <v>114.86513831445988</v>
      </c>
      <c r="M29" s="74">
        <v>163.30646037435261</v>
      </c>
      <c r="N29" s="8" t="str">
        <f t="shared" si="0"/>
        <v>ir šaurleņķa</v>
      </c>
    </row>
    <row r="30" spans="1:19" ht="13.9" customHeight="1" x14ac:dyDescent="0.2">
      <c r="A30" s="8">
        <v>-30</v>
      </c>
      <c r="B30" s="8">
        <v>-1</v>
      </c>
      <c r="C30" s="8">
        <v>40</v>
      </c>
      <c r="D30" s="8">
        <v>-26</v>
      </c>
      <c r="E30" s="8">
        <v>65</v>
      </c>
      <c r="F30" s="8">
        <v>-99</v>
      </c>
      <c r="G30" s="74">
        <v>25.204887904027807</v>
      </c>
      <c r="H30" s="74">
        <v>128.55839990066497</v>
      </c>
      <c r="I30" s="74">
        <v>26.236712195307224</v>
      </c>
      <c r="J30" s="77">
        <v>4484.9999999999991</v>
      </c>
      <c r="K30" s="74">
        <v>74.330343736592525</v>
      </c>
      <c r="L30" s="74">
        <v>77.1621668954417</v>
      </c>
      <c r="M30" s="74">
        <v>136.48809471891678</v>
      </c>
      <c r="N30" s="8" t="str">
        <f t="shared" si="0"/>
        <v>ir šaurleņķa</v>
      </c>
    </row>
    <row r="31" spans="1:19" ht="13.9" customHeight="1" x14ac:dyDescent="0.2">
      <c r="A31" s="8">
        <v>64</v>
      </c>
      <c r="B31" s="8">
        <v>-30</v>
      </c>
      <c r="C31" s="8">
        <v>-19</v>
      </c>
      <c r="D31" s="8">
        <v>64</v>
      </c>
      <c r="E31" s="8">
        <v>-19</v>
      </c>
      <c r="F31" s="8">
        <v>0</v>
      </c>
      <c r="G31" s="74">
        <v>109.87217581924386</v>
      </c>
      <c r="H31" s="74">
        <v>41.443818905744848</v>
      </c>
      <c r="I31" s="74">
        <v>28.684005275011195</v>
      </c>
      <c r="J31" s="77">
        <v>5311.9999999999964</v>
      </c>
      <c r="K31" s="74">
        <v>125.39936203984452</v>
      </c>
      <c r="L31" s="74">
        <v>64</v>
      </c>
      <c r="M31" s="74">
        <v>88.255311454892052</v>
      </c>
      <c r="N31" s="8" t="str">
        <f t="shared" si="0"/>
        <v>ir šaurleņķa</v>
      </c>
    </row>
    <row r="32" spans="1:19" ht="13.9" customHeight="1" x14ac:dyDescent="0.2">
      <c r="A32" s="8">
        <v>74</v>
      </c>
      <c r="B32" s="8">
        <v>-96</v>
      </c>
      <c r="C32" s="8">
        <v>38</v>
      </c>
      <c r="D32" s="8">
        <v>10</v>
      </c>
      <c r="E32" s="8">
        <v>19</v>
      </c>
      <c r="F32" s="8">
        <v>64</v>
      </c>
      <c r="G32" s="74">
        <v>0.41410787087149947</v>
      </c>
      <c r="H32" s="74">
        <v>179.37413466848358</v>
      </c>
      <c r="I32" s="74">
        <v>0.2117574606434372</v>
      </c>
      <c r="J32" s="77">
        <v>70.000000000091646</v>
      </c>
      <c r="K32" s="74">
        <v>111.94641575325224</v>
      </c>
      <c r="L32" s="74">
        <v>57.245087125446844</v>
      </c>
      <c r="M32" s="74">
        <v>169.18924315688631</v>
      </c>
      <c r="N32" s="8" t="str">
        <f t="shared" si="0"/>
        <v>ir šaurleņķa</v>
      </c>
    </row>
    <row r="33" spans="1:14" ht="13.9" customHeight="1" x14ac:dyDescent="0.2">
      <c r="A33" s="8">
        <v>17</v>
      </c>
      <c r="B33" s="8">
        <v>71</v>
      </c>
      <c r="C33" s="8">
        <v>25</v>
      </c>
      <c r="D33" s="8">
        <v>-4</v>
      </c>
      <c r="E33" s="8">
        <v>-20</v>
      </c>
      <c r="F33" s="8">
        <v>20</v>
      </c>
      <c r="G33" s="74">
        <v>82.111969739208078</v>
      </c>
      <c r="H33" s="74">
        <v>55.838984909951876</v>
      </c>
      <c r="I33" s="74">
        <v>42.049045350840089</v>
      </c>
      <c r="J33" s="77">
        <v>3183</v>
      </c>
      <c r="K33" s="74">
        <v>75.425459892532302</v>
      </c>
      <c r="L33" s="74">
        <v>51</v>
      </c>
      <c r="M33" s="74">
        <v>63.007936008093459</v>
      </c>
      <c r="N33" s="8" t="str">
        <f t="shared" si="0"/>
        <v>ir šaurleņķa</v>
      </c>
    </row>
    <row r="34" spans="1:14" ht="13.9" customHeight="1" x14ac:dyDescent="0.2">
      <c r="A34" s="8">
        <v>31</v>
      </c>
      <c r="B34" s="8">
        <v>-86</v>
      </c>
      <c r="C34" s="8">
        <v>74</v>
      </c>
      <c r="D34" s="8">
        <v>2</v>
      </c>
      <c r="E34" s="8">
        <v>-45</v>
      </c>
      <c r="F34" s="8">
        <v>-51</v>
      </c>
      <c r="G34" s="74">
        <v>48.734461013575959</v>
      </c>
      <c r="H34" s="74">
        <v>39.951036778220441</v>
      </c>
      <c r="I34" s="74">
        <v>91.314502208203692</v>
      </c>
      <c r="J34" s="77">
        <v>8193.0000000000109</v>
      </c>
      <c r="K34" s="74">
        <v>97.943861471763512</v>
      </c>
      <c r="L34" s="74">
        <v>130.26895255585654</v>
      </c>
      <c r="M34" s="74">
        <v>83.671978583035795</v>
      </c>
      <c r="N34" s="8" t="str">
        <f t="shared" si="0"/>
        <v>ir šaurleņķa</v>
      </c>
    </row>
    <row r="35" spans="1:14" ht="13.9" customHeight="1" x14ac:dyDescent="0.2">
      <c r="A35" s="8">
        <v>-58</v>
      </c>
      <c r="B35" s="8">
        <v>-88</v>
      </c>
      <c r="C35" s="8">
        <v>-30</v>
      </c>
      <c r="D35" s="8">
        <v>-16</v>
      </c>
      <c r="E35" s="8">
        <v>-17</v>
      </c>
      <c r="F35" s="8">
        <v>30</v>
      </c>
      <c r="G35" s="74">
        <v>3.3794198124666743</v>
      </c>
      <c r="H35" s="74">
        <v>174.53024780238238</v>
      </c>
      <c r="I35" s="74">
        <v>2.0903323851524873</v>
      </c>
      <c r="J35" s="77">
        <v>351.99999999998505</v>
      </c>
      <c r="K35" s="74">
        <v>77.252831663311866</v>
      </c>
      <c r="L35" s="74">
        <v>47.801673610868477</v>
      </c>
      <c r="M35" s="74">
        <v>124.91997438360288</v>
      </c>
      <c r="N35" s="8" t="str">
        <f t="shared" si="0"/>
        <v>ir šaurleņķa</v>
      </c>
    </row>
    <row r="36" spans="1:14" ht="13.9" customHeight="1" x14ac:dyDescent="0.2">
      <c r="A36" s="8">
        <v>65</v>
      </c>
      <c r="B36" s="8">
        <v>-13</v>
      </c>
      <c r="C36" s="8">
        <v>74</v>
      </c>
      <c r="D36" s="8">
        <v>23</v>
      </c>
      <c r="E36" s="8">
        <v>72</v>
      </c>
      <c r="F36" s="8">
        <v>86</v>
      </c>
      <c r="G36" s="74">
        <v>5.8627885386323024</v>
      </c>
      <c r="H36" s="74">
        <v>164.1454535676215</v>
      </c>
      <c r="I36" s="74">
        <v>9.9917578937452198</v>
      </c>
      <c r="J36" s="77">
        <v>639.00000000000728</v>
      </c>
      <c r="K36" s="74">
        <v>37.107950630558946</v>
      </c>
      <c r="L36" s="74">
        <v>63.031738037277698</v>
      </c>
      <c r="M36" s="74">
        <v>99.247166206396045</v>
      </c>
      <c r="N36" s="8" t="str">
        <f t="shared" si="0"/>
        <v>ir šaurleņķa</v>
      </c>
    </row>
    <row r="37" spans="1:14" ht="13.9" customHeight="1" x14ac:dyDescent="0.2">
      <c r="A37" s="8">
        <v>-99</v>
      </c>
      <c r="B37" s="8">
        <v>-95</v>
      </c>
      <c r="C37" s="8">
        <v>-6</v>
      </c>
      <c r="D37" s="8">
        <v>-94</v>
      </c>
      <c r="E37" s="8">
        <v>-54</v>
      </c>
      <c r="F37" s="8">
        <v>-10</v>
      </c>
      <c r="G37" s="74">
        <v>57.642152327889804</v>
      </c>
      <c r="H37" s="74">
        <v>60.871178611456962</v>
      </c>
      <c r="I37" s="74">
        <v>61.486669060653078</v>
      </c>
      <c r="J37" s="77">
        <v>7859.9999999999955</v>
      </c>
      <c r="K37" s="74">
        <v>93.005376188691372</v>
      </c>
      <c r="L37" s="74">
        <v>96.74709297958259</v>
      </c>
      <c r="M37" s="74">
        <v>96.176920308356728</v>
      </c>
      <c r="N37" s="8" t="str">
        <f t="shared" si="0"/>
        <v>ir šaurleņķa</v>
      </c>
    </row>
    <row r="38" spans="1:14" ht="13.9" customHeight="1" x14ac:dyDescent="0.2">
      <c r="A38" s="8">
        <v>-53</v>
      </c>
      <c r="B38" s="8">
        <v>61</v>
      </c>
      <c r="C38" s="8">
        <v>-68</v>
      </c>
      <c r="D38" s="8">
        <v>14</v>
      </c>
      <c r="E38" s="8">
        <v>-25</v>
      </c>
      <c r="F38" s="8">
        <v>51</v>
      </c>
      <c r="G38" s="74">
        <v>60.364670729234277</v>
      </c>
      <c r="H38" s="74">
        <v>31.588725540151838</v>
      </c>
      <c r="I38" s="74">
        <v>88.046603730613882</v>
      </c>
      <c r="J38" s="77">
        <v>1466.0000000000005</v>
      </c>
      <c r="K38" s="74">
        <v>49.33558553417604</v>
      </c>
      <c r="L38" s="74">
        <v>56.727418414731339</v>
      </c>
      <c r="M38" s="74">
        <v>29.732137494637012</v>
      </c>
      <c r="N38" s="8" t="str">
        <f t="shared" si="0"/>
        <v>ir šaurleņķa</v>
      </c>
    </row>
    <row r="39" spans="1:14" ht="13.9" customHeight="1" x14ac:dyDescent="0.2">
      <c r="A39" s="8">
        <v>-99</v>
      </c>
      <c r="B39" s="8">
        <v>57</v>
      </c>
      <c r="C39" s="8">
        <v>-18</v>
      </c>
      <c r="D39" s="8">
        <v>-23</v>
      </c>
      <c r="E39" s="8">
        <v>-85</v>
      </c>
      <c r="F39" s="8">
        <v>-67</v>
      </c>
      <c r="G39" s="74">
        <v>63.148036828488372</v>
      </c>
      <c r="H39" s="74">
        <v>77.937693440224777</v>
      </c>
      <c r="I39" s="74">
        <v>38.914269731286851</v>
      </c>
      <c r="J39" s="77">
        <v>8924.0000000000018</v>
      </c>
      <c r="K39" s="74">
        <v>113.84638773364749</v>
      </c>
      <c r="L39" s="74">
        <v>80.156097709406993</v>
      </c>
      <c r="M39" s="74">
        <v>124.78781991845197</v>
      </c>
      <c r="N39" s="8" t="str">
        <f t="shared" si="0"/>
        <v>ir šaurleņķa</v>
      </c>
    </row>
    <row r="40" spans="1:14" ht="13.9" customHeight="1" x14ac:dyDescent="0.2">
      <c r="A40" s="8">
        <v>-89</v>
      </c>
      <c r="B40" s="8">
        <v>75</v>
      </c>
      <c r="C40" s="8">
        <v>7</v>
      </c>
      <c r="D40" s="8">
        <v>-90</v>
      </c>
      <c r="E40" s="8">
        <v>-4</v>
      </c>
      <c r="F40" s="8">
        <v>-11</v>
      </c>
      <c r="G40" s="74">
        <v>143.26198590129874</v>
      </c>
      <c r="H40" s="74">
        <v>22.264696278267984</v>
      </c>
      <c r="I40" s="74">
        <v>14.473317820433268</v>
      </c>
      <c r="J40" s="77">
        <v>5768.9999999999936</v>
      </c>
      <c r="K40" s="74">
        <v>190.89525923919641</v>
      </c>
      <c r="L40" s="74">
        <v>79.762146410437069</v>
      </c>
      <c r="M40" s="74">
        <v>120.91732712891069</v>
      </c>
      <c r="N40" s="8" t="str">
        <f t="shared" si="0"/>
        <v>ir šaurleņķa</v>
      </c>
    </row>
    <row r="41" spans="1:14" ht="13.9" customHeight="1" x14ac:dyDescent="0.2">
      <c r="A41" s="8">
        <v>-51</v>
      </c>
      <c r="B41" s="8">
        <v>-71</v>
      </c>
      <c r="C41" s="8">
        <v>88</v>
      </c>
      <c r="D41" s="8">
        <v>54</v>
      </c>
      <c r="E41" s="8">
        <v>22</v>
      </c>
      <c r="F41" s="8">
        <v>-8</v>
      </c>
      <c r="G41" s="74">
        <v>177.5845536065363</v>
      </c>
      <c r="H41" s="74">
        <v>1.2456585168084118</v>
      </c>
      <c r="I41" s="74">
        <v>1.169787876651148</v>
      </c>
      <c r="J41" s="77">
        <v>367.9999999996794</v>
      </c>
      <c r="K41" s="74">
        <v>186.93849255838134</v>
      </c>
      <c r="L41" s="74">
        <v>90.553851381374173</v>
      </c>
      <c r="M41" s="74">
        <v>96.426137535421375</v>
      </c>
      <c r="N41" s="8" t="str">
        <f t="shared" si="0"/>
        <v>ir šaurleņķa</v>
      </c>
    </row>
    <row r="42" spans="1:14" ht="13.9" customHeight="1" x14ac:dyDescent="0.2">
      <c r="A42" s="8">
        <v>-84</v>
      </c>
      <c r="B42" s="8">
        <v>-61</v>
      </c>
      <c r="C42" s="8">
        <v>-10</v>
      </c>
      <c r="D42" s="8">
        <v>-13</v>
      </c>
      <c r="E42" s="8">
        <v>-28</v>
      </c>
      <c r="F42" s="8">
        <v>-29</v>
      </c>
      <c r="G42" s="74">
        <v>168.1113419603721</v>
      </c>
      <c r="H42" s="74">
        <v>8.6641354331081768</v>
      </c>
      <c r="I42" s="74">
        <v>3.2245226065200945</v>
      </c>
      <c r="J42" s="77">
        <v>320.00000000000398</v>
      </c>
      <c r="K42" s="74">
        <v>88.204308284799779</v>
      </c>
      <c r="L42" s="74">
        <v>24.083189157584592</v>
      </c>
      <c r="M42" s="74">
        <v>64.498061986388393</v>
      </c>
      <c r="N42" s="8" t="str">
        <f t="shared" si="0"/>
        <v>ir šaurleņķa</v>
      </c>
    </row>
    <row r="43" spans="1:14" ht="13.9" customHeight="1" x14ac:dyDescent="0.2">
      <c r="A43" s="8">
        <v>96</v>
      </c>
      <c r="B43" s="8">
        <v>91</v>
      </c>
      <c r="C43" s="8">
        <v>64</v>
      </c>
      <c r="D43" s="8">
        <v>96</v>
      </c>
      <c r="E43" s="8">
        <v>83</v>
      </c>
      <c r="F43" s="8">
        <v>-84</v>
      </c>
      <c r="G43" s="74">
        <v>10.274029537728085</v>
      </c>
      <c r="H43" s="74">
        <v>75.093765841113125</v>
      </c>
      <c r="I43" s="74">
        <v>94.632204621159019</v>
      </c>
      <c r="J43" s="77">
        <v>5665.0000000000009</v>
      </c>
      <c r="K43" s="74">
        <v>32.388269481403292</v>
      </c>
      <c r="L43" s="74">
        <v>181</v>
      </c>
      <c r="M43" s="74">
        <v>175.48219282878819</v>
      </c>
      <c r="N43" s="8" t="str">
        <f t="shared" si="0"/>
        <v>ir šaurleņķa</v>
      </c>
    </row>
    <row r="44" spans="1:14" ht="13.9" customHeight="1" x14ac:dyDescent="0.2">
      <c r="A44" s="8">
        <v>-18</v>
      </c>
      <c r="B44" s="8">
        <v>72</v>
      </c>
      <c r="C44" s="8">
        <v>46</v>
      </c>
      <c r="D44" s="8">
        <v>59</v>
      </c>
      <c r="E44" s="8">
        <v>-10</v>
      </c>
      <c r="F44" s="8">
        <v>-93</v>
      </c>
      <c r="G44" s="74">
        <v>23.000662879951154</v>
      </c>
      <c r="H44" s="74">
        <v>81.257131923579976</v>
      </c>
      <c r="I44" s="74">
        <v>75.742205196468774</v>
      </c>
      <c r="J44" s="77">
        <v>10455.999999999998</v>
      </c>
      <c r="K44" s="74">
        <v>65.30696746902278</v>
      </c>
      <c r="L44" s="74">
        <v>161.98765385053269</v>
      </c>
      <c r="M44" s="74">
        <v>165.19382555047267</v>
      </c>
      <c r="N44" s="8" t="str">
        <f t="shared" si="0"/>
        <v>ir šaurleņķa</v>
      </c>
    </row>
    <row r="45" spans="1:14" ht="13.9" customHeight="1" x14ac:dyDescent="0.2">
      <c r="A45" s="8">
        <v>-23</v>
      </c>
      <c r="B45" s="8">
        <v>-27</v>
      </c>
      <c r="C45" s="8">
        <v>95</v>
      </c>
      <c r="D45" s="8">
        <v>44</v>
      </c>
      <c r="E45" s="8">
        <v>-73</v>
      </c>
      <c r="F45" s="8">
        <v>73</v>
      </c>
      <c r="G45" s="74">
        <v>53.641121464474445</v>
      </c>
      <c r="H45" s="74">
        <v>40.828936007450302</v>
      </c>
      <c r="I45" s="74">
        <v>85.529942528075324</v>
      </c>
      <c r="J45" s="77">
        <v>15350.000000000015</v>
      </c>
      <c r="K45" s="74">
        <v>137.71347065556077</v>
      </c>
      <c r="L45" s="74">
        <v>170.48460341039598</v>
      </c>
      <c r="M45" s="74">
        <v>111.80339887498948</v>
      </c>
      <c r="N45" s="8" t="str">
        <f t="shared" si="0"/>
        <v>ir šaurleņķa</v>
      </c>
    </row>
    <row r="46" spans="1:14" ht="13.9" customHeight="1" x14ac:dyDescent="0.2">
      <c r="A46" s="8">
        <v>27</v>
      </c>
      <c r="B46" s="8">
        <v>98</v>
      </c>
      <c r="C46" s="8">
        <v>-52</v>
      </c>
      <c r="D46" s="8">
        <v>42</v>
      </c>
      <c r="E46" s="8">
        <v>-39</v>
      </c>
      <c r="F46" s="8">
        <v>-95</v>
      </c>
      <c r="G46" s="74">
        <v>24.299688539796339</v>
      </c>
      <c r="H46" s="74">
        <v>119.910736055154</v>
      </c>
      <c r="I46" s="74">
        <v>35.789575405049703</v>
      </c>
      <c r="J46" s="77">
        <v>11551</v>
      </c>
      <c r="K46" s="74">
        <v>96.834911060009759</v>
      </c>
      <c r="L46" s="74">
        <v>137.61540611428649</v>
      </c>
      <c r="M46" s="74">
        <v>203.97303743387261</v>
      </c>
      <c r="N46" s="8" t="str">
        <f t="shared" si="0"/>
        <v>ir šaurleņķa</v>
      </c>
    </row>
    <row r="47" spans="1:14" ht="13.9" customHeight="1" x14ac:dyDescent="0.2">
      <c r="A47" s="8">
        <v>93</v>
      </c>
      <c r="B47" s="8">
        <v>-25</v>
      </c>
      <c r="C47" s="8">
        <v>-38</v>
      </c>
      <c r="D47" s="8">
        <v>94</v>
      </c>
      <c r="E47" s="8">
        <v>-20</v>
      </c>
      <c r="F47" s="8">
        <v>50</v>
      </c>
      <c r="G47" s="74">
        <v>145.82192206326729</v>
      </c>
      <c r="H47" s="74">
        <v>25.49906452284139</v>
      </c>
      <c r="I47" s="74">
        <v>8.6790134138915196</v>
      </c>
      <c r="J47" s="77">
        <v>3622.0000000000009</v>
      </c>
      <c r="K47" s="74">
        <v>176.98022488402484</v>
      </c>
      <c r="L47" s="74">
        <v>47.539457296018853</v>
      </c>
      <c r="M47" s="74">
        <v>135.6244815658294</v>
      </c>
      <c r="N47" s="8" t="str">
        <f t="shared" si="0"/>
        <v>ir šaurleņķa</v>
      </c>
    </row>
    <row r="48" spans="1:14" ht="13.9" customHeight="1" x14ac:dyDescent="0.2">
      <c r="A48" s="8">
        <v>-45</v>
      </c>
      <c r="B48" s="8">
        <v>21</v>
      </c>
      <c r="C48" s="8">
        <v>97</v>
      </c>
      <c r="D48" s="8">
        <v>-65</v>
      </c>
      <c r="E48" s="8">
        <v>-73</v>
      </c>
      <c r="F48" s="8">
        <v>-50</v>
      </c>
      <c r="G48" s="74">
        <v>73.519850961263813</v>
      </c>
      <c r="H48" s="74">
        <v>26.158063534809635</v>
      </c>
      <c r="I48" s="74">
        <v>80.322085503926417</v>
      </c>
      <c r="J48" s="77">
        <v>12489.999999999964</v>
      </c>
      <c r="K48" s="74">
        <v>166.01204775557707</v>
      </c>
      <c r="L48" s="74">
        <v>170.66048165876012</v>
      </c>
      <c r="M48" s="74">
        <v>76.321687612368734</v>
      </c>
      <c r="N48" s="8" t="str">
        <f t="shared" si="0"/>
        <v>ir šaurleņķa</v>
      </c>
    </row>
    <row r="49" spans="1:14" ht="13.9" customHeight="1" x14ac:dyDescent="0.2">
      <c r="A49" s="8">
        <v>87</v>
      </c>
      <c r="B49" s="8">
        <v>45</v>
      </c>
      <c r="C49" s="8">
        <v>-89</v>
      </c>
      <c r="D49" s="8">
        <v>-57</v>
      </c>
      <c r="E49" s="8">
        <v>86</v>
      </c>
      <c r="F49" s="8">
        <v>5</v>
      </c>
      <c r="G49" s="74">
        <v>110.9406051709728</v>
      </c>
      <c r="H49" s="74">
        <v>10.585732489636925</v>
      </c>
      <c r="I49" s="74">
        <v>58.473662339390401</v>
      </c>
      <c r="J49" s="77">
        <v>6938.0000000000236</v>
      </c>
      <c r="K49" s="74">
        <v>203.42074623793906</v>
      </c>
      <c r="L49" s="74">
        <v>185.65828826098769</v>
      </c>
      <c r="M49" s="74">
        <v>40.01249804748511</v>
      </c>
      <c r="N49" s="8" t="str">
        <f t="shared" si="0"/>
        <v>ir šaurleņķa</v>
      </c>
    </row>
    <row r="50" spans="1:14" ht="13.9" customHeight="1" x14ac:dyDescent="0.2">
      <c r="A50" s="8">
        <v>40</v>
      </c>
      <c r="B50" s="8">
        <v>34</v>
      </c>
      <c r="C50" s="8">
        <v>-2</v>
      </c>
      <c r="D50" s="8">
        <v>25</v>
      </c>
      <c r="E50" s="8">
        <v>33</v>
      </c>
      <c r="F50" s="8">
        <v>-20</v>
      </c>
      <c r="G50" s="74">
        <v>45.261026802365443</v>
      </c>
      <c r="H50" s="74">
        <v>64.2197734259139</v>
      </c>
      <c r="I50" s="74">
        <v>70.519199771720579</v>
      </c>
      <c r="J50" s="77">
        <v>2205</v>
      </c>
      <c r="K50" s="74">
        <v>42.953463189829058</v>
      </c>
      <c r="L50" s="74">
        <v>57.008771254956898</v>
      </c>
      <c r="M50" s="74">
        <v>54.451813560247928</v>
      </c>
      <c r="N50" s="8" t="str">
        <f t="shared" si="0"/>
        <v>ir šaurleņķa</v>
      </c>
    </row>
    <row r="51" spans="1:14" ht="13.9" customHeight="1" x14ac:dyDescent="0.2">
      <c r="A51" s="8">
        <v>63</v>
      </c>
      <c r="B51" s="8">
        <v>29</v>
      </c>
      <c r="C51" s="8">
        <v>58</v>
      </c>
      <c r="D51" s="8">
        <v>64</v>
      </c>
      <c r="E51" s="8">
        <v>39</v>
      </c>
      <c r="F51" s="8">
        <v>-70</v>
      </c>
      <c r="G51" s="74">
        <v>5.556762681973777</v>
      </c>
      <c r="H51" s="74">
        <v>16.200334532074212</v>
      </c>
      <c r="I51" s="74">
        <v>158.24290278595257</v>
      </c>
      <c r="J51" s="77">
        <v>1335.0000000000121</v>
      </c>
      <c r="K51" s="74">
        <v>35.355339059327378</v>
      </c>
      <c r="L51" s="74">
        <v>135.34031180694095</v>
      </c>
      <c r="M51" s="74">
        <v>101.86756107809786</v>
      </c>
      <c r="N51" s="8" t="str">
        <f t="shared" si="0"/>
        <v>ir šaurleņķa</v>
      </c>
    </row>
    <row r="52" spans="1:14" ht="13.9" customHeight="1" x14ac:dyDescent="0.2">
      <c r="A52" s="8">
        <v>-6</v>
      </c>
      <c r="B52" s="8">
        <v>-40</v>
      </c>
      <c r="C52" s="8">
        <v>-31</v>
      </c>
      <c r="D52" s="8">
        <v>50</v>
      </c>
      <c r="E52" s="8">
        <v>-54</v>
      </c>
      <c r="F52" s="8">
        <v>86</v>
      </c>
      <c r="G52" s="74">
        <v>11.719599094993958</v>
      </c>
      <c r="H52" s="74">
        <v>162.95005386218153</v>
      </c>
      <c r="I52" s="74">
        <v>5.3303470428238757</v>
      </c>
      <c r="J52" s="77">
        <v>1170.0000000000146</v>
      </c>
      <c r="K52" s="74">
        <v>93.407708461347028</v>
      </c>
      <c r="L52" s="74">
        <v>42.720018726587654</v>
      </c>
      <c r="M52" s="74">
        <v>134.83323032546539</v>
      </c>
      <c r="N52" s="8" t="str">
        <f t="shared" si="0"/>
        <v>ir šaurleņķa</v>
      </c>
    </row>
    <row r="53" spans="1:14" ht="13.9" customHeight="1" x14ac:dyDescent="0.2">
      <c r="A53" s="8">
        <v>-5</v>
      </c>
      <c r="B53" s="8">
        <v>-73</v>
      </c>
      <c r="C53" s="8">
        <v>-14</v>
      </c>
      <c r="D53" s="8">
        <v>12</v>
      </c>
      <c r="E53" s="8">
        <v>-25</v>
      </c>
      <c r="F53" s="8">
        <v>58</v>
      </c>
      <c r="G53" s="74">
        <v>4.7681966266149702</v>
      </c>
      <c r="H53" s="74">
        <v>172.59547711055427</v>
      </c>
      <c r="I53" s="74">
        <v>2.6363262628297828</v>
      </c>
      <c r="J53" s="77">
        <v>521.0000000000224</v>
      </c>
      <c r="K53" s="74">
        <v>85.475142585432408</v>
      </c>
      <c r="L53" s="74">
        <v>47.296934361541872</v>
      </c>
      <c r="M53" s="74">
        <v>132.51792331605563</v>
      </c>
      <c r="N53" s="8" t="str">
        <f t="shared" si="0"/>
        <v>ir šaurleņķa</v>
      </c>
    </row>
    <row r="54" spans="1:14" ht="13.9" customHeight="1" x14ac:dyDescent="0.2">
      <c r="A54" s="8">
        <v>-79</v>
      </c>
      <c r="B54" s="8">
        <v>-54</v>
      </c>
      <c r="C54" s="8">
        <v>55</v>
      </c>
      <c r="D54" s="8">
        <v>-39</v>
      </c>
      <c r="E54" s="8">
        <v>-2</v>
      </c>
      <c r="F54" s="8">
        <v>-79</v>
      </c>
      <c r="G54" s="74">
        <v>126.95323838105162</v>
      </c>
      <c r="H54" s="74">
        <v>28.67230994112251</v>
      </c>
      <c r="I54" s="74">
        <v>24.374451677825999</v>
      </c>
      <c r="J54" s="77">
        <v>4505.0000000000073</v>
      </c>
      <c r="K54" s="74">
        <v>134.83693855913521</v>
      </c>
      <c r="L54" s="74">
        <v>69.634761434214738</v>
      </c>
      <c r="M54" s="74">
        <v>80.956778592036386</v>
      </c>
      <c r="N54" s="8" t="str">
        <f t="shared" si="0"/>
        <v>ir šaurleņķa</v>
      </c>
    </row>
    <row r="55" spans="1:14" ht="13.9" customHeight="1" x14ac:dyDescent="0.2">
      <c r="A55" s="8">
        <v>53</v>
      </c>
      <c r="B55" s="8">
        <v>-2</v>
      </c>
      <c r="C55" s="8">
        <v>53</v>
      </c>
      <c r="D55" s="8">
        <v>-1</v>
      </c>
      <c r="E55" s="8">
        <v>6</v>
      </c>
      <c r="F55" s="8">
        <v>-45</v>
      </c>
      <c r="G55" s="74">
        <v>0.65661637307442111</v>
      </c>
      <c r="H55" s="74">
        <v>46.888188006741323</v>
      </c>
      <c r="I55" s="74">
        <v>132.45519562018762</v>
      </c>
      <c r="J55" s="77">
        <v>47.000000000000306</v>
      </c>
      <c r="K55" s="74">
        <v>1</v>
      </c>
      <c r="L55" s="74">
        <v>64.381674411279491</v>
      </c>
      <c r="M55" s="74">
        <v>63.702433234531945</v>
      </c>
      <c r="N55" s="8" t="str">
        <f t="shared" si="0"/>
        <v>ir šaurleņķa</v>
      </c>
    </row>
    <row r="56" spans="1:14" ht="13.9" customHeight="1" x14ac:dyDescent="0.2">
      <c r="A56" s="8">
        <v>18</v>
      </c>
      <c r="B56" s="8">
        <v>-47</v>
      </c>
      <c r="C56" s="8">
        <v>-53</v>
      </c>
      <c r="D56" s="8">
        <v>63</v>
      </c>
      <c r="E56" s="8">
        <v>48</v>
      </c>
      <c r="F56" s="8">
        <v>88</v>
      </c>
      <c r="G56" s="74">
        <v>63.568505176627966</v>
      </c>
      <c r="H56" s="74">
        <v>71.062282842747095</v>
      </c>
      <c r="I56" s="74">
        <v>45.369211980625018</v>
      </c>
      <c r="J56" s="77">
        <v>12885.000000000002</v>
      </c>
      <c r="K56" s="74">
        <v>130.92364186807515</v>
      </c>
      <c r="L56" s="74">
        <v>104.04806581575652</v>
      </c>
      <c r="M56" s="74">
        <v>138.2931668593933</v>
      </c>
      <c r="N56" s="8" t="str">
        <f t="shared" si="0"/>
        <v>ir šaurleņķa</v>
      </c>
    </row>
    <row r="57" spans="1:14" ht="13.9" customHeight="1" x14ac:dyDescent="0.2">
      <c r="A57" s="8">
        <v>60</v>
      </c>
      <c r="B57" s="8">
        <v>-98</v>
      </c>
      <c r="C57" s="8">
        <v>-37</v>
      </c>
      <c r="D57" s="8">
        <v>-96</v>
      </c>
      <c r="E57" s="8">
        <v>-86</v>
      </c>
      <c r="F57" s="8">
        <v>51</v>
      </c>
      <c r="G57" s="74">
        <v>25.982402317891548</v>
      </c>
      <c r="H57" s="74">
        <v>109.61613773624865</v>
      </c>
      <c r="I57" s="74">
        <v>44.40145994585982</v>
      </c>
      <c r="J57" s="77">
        <v>14161</v>
      </c>
      <c r="K57" s="74">
        <v>97.020616365801345</v>
      </c>
      <c r="L57" s="74">
        <v>154.95160534825058</v>
      </c>
      <c r="M57" s="74">
        <v>208.60728654579637</v>
      </c>
      <c r="N57" s="8" t="str">
        <f t="shared" si="0"/>
        <v>ir šaurleņķa</v>
      </c>
    </row>
    <row r="58" spans="1:14" ht="13.9" customHeight="1" x14ac:dyDescent="0.2">
      <c r="A58" s="8">
        <v>-41</v>
      </c>
      <c r="B58" s="8">
        <v>-99</v>
      </c>
      <c r="C58" s="8">
        <v>-3</v>
      </c>
      <c r="D58" s="8">
        <v>51</v>
      </c>
      <c r="E58" s="8">
        <v>58</v>
      </c>
      <c r="F58" s="8">
        <v>-63</v>
      </c>
      <c r="G58" s="74">
        <v>81.832417933725054</v>
      </c>
      <c r="H58" s="74">
        <v>42.366542061848456</v>
      </c>
      <c r="I58" s="74">
        <v>55.801040004426476</v>
      </c>
      <c r="J58" s="77">
        <v>13481.999999999998</v>
      </c>
      <c r="K58" s="74">
        <v>154.73848907107759</v>
      </c>
      <c r="L58" s="74">
        <v>129.29423807734048</v>
      </c>
      <c r="M58" s="74">
        <v>105.34229919647663</v>
      </c>
      <c r="N58" s="8" t="str">
        <f t="shared" si="0"/>
        <v>ir šaurleņķa</v>
      </c>
    </row>
    <row r="59" spans="1:14" ht="13.9" customHeight="1" x14ac:dyDescent="0.2">
      <c r="A59" s="8">
        <v>-80</v>
      </c>
      <c r="B59" s="8">
        <v>-64</v>
      </c>
      <c r="C59" s="8">
        <v>34</v>
      </c>
      <c r="D59" s="8">
        <v>-58</v>
      </c>
      <c r="E59" s="8">
        <v>-17</v>
      </c>
      <c r="F59" s="8">
        <v>-30</v>
      </c>
      <c r="G59" s="74">
        <v>122.87738887583214</v>
      </c>
      <c r="H59" s="74">
        <v>31.780436843027086</v>
      </c>
      <c r="I59" s="74">
        <v>25.342174281140753</v>
      </c>
      <c r="J59" s="77">
        <v>3497.999999999995</v>
      </c>
      <c r="K59" s="74">
        <v>114.15778554264269</v>
      </c>
      <c r="L59" s="74">
        <v>58.180752831155424</v>
      </c>
      <c r="M59" s="74">
        <v>71.589105316381762</v>
      </c>
      <c r="N59" s="8" t="str">
        <f t="shared" si="0"/>
        <v>ir šaurleņķa</v>
      </c>
    </row>
    <row r="60" spans="1:14" ht="13.9" customHeight="1" x14ac:dyDescent="0.2">
      <c r="A60" s="8">
        <v>82</v>
      </c>
      <c r="B60" s="8">
        <v>-68</v>
      </c>
      <c r="C60" s="8">
        <v>40</v>
      </c>
      <c r="D60" s="8">
        <v>0</v>
      </c>
      <c r="E60" s="8">
        <v>-26</v>
      </c>
      <c r="F60" s="8">
        <v>99</v>
      </c>
      <c r="G60" s="74">
        <v>0.79905250921097049</v>
      </c>
      <c r="H60" s="74">
        <v>178.01136214352709</v>
      </c>
      <c r="I60" s="74">
        <v>1.1895853472655196</v>
      </c>
      <c r="J60" s="77">
        <v>329.99999999980787</v>
      </c>
      <c r="K60" s="74">
        <v>79.924964810752343</v>
      </c>
      <c r="L60" s="74">
        <v>118.98319209031165</v>
      </c>
      <c r="M60" s="74">
        <v>198.8793604173143</v>
      </c>
      <c r="N60" s="8" t="str">
        <f t="shared" si="0"/>
        <v>ir šaurleņķa</v>
      </c>
    </row>
    <row r="61" spans="1:14" ht="13.9" customHeight="1" x14ac:dyDescent="0.2">
      <c r="A61" s="8">
        <v>77</v>
      </c>
      <c r="B61" s="8">
        <v>75</v>
      </c>
      <c r="C61" s="8">
        <v>-65</v>
      </c>
      <c r="D61" s="8">
        <v>-63</v>
      </c>
      <c r="E61" s="8">
        <v>-81</v>
      </c>
      <c r="F61" s="8">
        <v>-80</v>
      </c>
      <c r="G61" s="74">
        <v>2.2848485994953678</v>
      </c>
      <c r="H61" s="74">
        <v>177.44583994938347</v>
      </c>
      <c r="I61" s="74">
        <v>0.26931145112848348</v>
      </c>
      <c r="J61" s="77">
        <v>205.99999999996186</v>
      </c>
      <c r="K61" s="74">
        <v>198.01010075246163</v>
      </c>
      <c r="L61" s="74">
        <v>23.345235059857504</v>
      </c>
      <c r="M61" s="74">
        <v>221.33458834985552</v>
      </c>
      <c r="N61" s="8" t="str">
        <f t="shared" si="0"/>
        <v>ir šaurleņķa</v>
      </c>
    </row>
    <row r="62" spans="1:14" ht="13.9" customHeight="1" x14ac:dyDescent="0.2">
      <c r="A62" s="8">
        <v>92</v>
      </c>
      <c r="B62" s="8">
        <v>-57</v>
      </c>
      <c r="C62" s="8">
        <v>98</v>
      </c>
      <c r="D62" s="8">
        <v>39</v>
      </c>
      <c r="E62" s="8">
        <v>52</v>
      </c>
      <c r="F62" s="8">
        <v>-11</v>
      </c>
      <c r="G62" s="74">
        <v>96.376857128818557</v>
      </c>
      <c r="H62" s="74">
        <v>39.037721594613792</v>
      </c>
      <c r="I62" s="74">
        <v>44.585421276567509</v>
      </c>
      <c r="J62" s="77">
        <v>4115.9999999999973</v>
      </c>
      <c r="K62" s="74">
        <v>96.187317251288391</v>
      </c>
      <c r="L62" s="74">
        <v>67.94115100585212</v>
      </c>
      <c r="M62" s="74">
        <v>60.959002616512684</v>
      </c>
      <c r="N62" s="8" t="str">
        <f t="shared" si="0"/>
        <v>ir šaurleņķa</v>
      </c>
    </row>
    <row r="63" spans="1:14" ht="13.9" customHeight="1" x14ac:dyDescent="0.2">
      <c r="A63" s="8">
        <v>33</v>
      </c>
      <c r="B63" s="8">
        <v>75</v>
      </c>
      <c r="C63" s="8">
        <v>-42</v>
      </c>
      <c r="D63" s="8">
        <v>6</v>
      </c>
      <c r="E63" s="8">
        <v>-10</v>
      </c>
      <c r="F63" s="8">
        <v>0</v>
      </c>
      <c r="G63" s="74">
        <v>109.2074293783196</v>
      </c>
      <c r="H63" s="74">
        <v>53.233711245766308</v>
      </c>
      <c r="I63" s="74">
        <v>17.558859375914103</v>
      </c>
      <c r="J63" s="77">
        <v>2657.9999999999991</v>
      </c>
      <c r="K63" s="74">
        <v>101.91172650877817</v>
      </c>
      <c r="L63" s="74">
        <v>32.557641192199412</v>
      </c>
      <c r="M63" s="74">
        <v>86.452298986203942</v>
      </c>
      <c r="N63" s="8" t="str">
        <f t="shared" si="0"/>
        <v>ir šaurleņķa</v>
      </c>
    </row>
    <row r="64" spans="1:14" ht="13.9" customHeight="1" x14ac:dyDescent="0.2">
      <c r="A64" s="8">
        <v>38</v>
      </c>
      <c r="B64" s="8">
        <v>-55</v>
      </c>
      <c r="C64" s="8">
        <v>-85</v>
      </c>
      <c r="D64" s="8">
        <v>-71</v>
      </c>
      <c r="E64" s="8">
        <v>-79</v>
      </c>
      <c r="F64" s="8">
        <v>-29</v>
      </c>
      <c r="G64" s="74">
        <v>85.601294645004486</v>
      </c>
      <c r="H64" s="74">
        <v>74.458404786665113</v>
      </c>
      <c r="I64" s="74">
        <v>19.940300568330361</v>
      </c>
      <c r="J64" s="77">
        <v>5069.9999999999991</v>
      </c>
      <c r="K64" s="74">
        <v>124.03628501370073</v>
      </c>
      <c r="L64" s="74">
        <v>42.426406871192853</v>
      </c>
      <c r="M64" s="74">
        <v>119.85407794480753</v>
      </c>
      <c r="N64" s="8" t="str">
        <f t="shared" si="0"/>
        <v>ir šaurleņķa</v>
      </c>
    </row>
    <row r="65" spans="1:14" ht="13.9" customHeight="1" x14ac:dyDescent="0.2">
      <c r="A65" s="8">
        <v>-3</v>
      </c>
      <c r="B65" s="8">
        <v>13</v>
      </c>
      <c r="C65" s="8">
        <v>44</v>
      </c>
      <c r="D65" s="8">
        <v>40</v>
      </c>
      <c r="E65" s="8">
        <v>34</v>
      </c>
      <c r="F65" s="8">
        <v>-22</v>
      </c>
      <c r="G65" s="74">
        <v>55.753487316916235</v>
      </c>
      <c r="H65" s="74">
        <v>50.961660262588815</v>
      </c>
      <c r="I65" s="74">
        <v>73.284852420494801</v>
      </c>
      <c r="J65" s="77">
        <v>2643.9999999999982</v>
      </c>
      <c r="K65" s="74">
        <v>54.203320931470607</v>
      </c>
      <c r="L65" s="74">
        <v>62.801273872430329</v>
      </c>
      <c r="M65" s="74">
        <v>50.931326312987373</v>
      </c>
      <c r="N65" s="8" t="str">
        <f t="shared" si="0"/>
        <v>ir šaurleņķa</v>
      </c>
    </row>
    <row r="66" spans="1:14" ht="13.9" customHeight="1" x14ac:dyDescent="0.2">
      <c r="A66" s="8">
        <v>37</v>
      </c>
      <c r="B66" s="8">
        <v>-49</v>
      </c>
      <c r="C66" s="8">
        <v>79</v>
      </c>
      <c r="D66" s="8">
        <v>-24</v>
      </c>
      <c r="E66" s="8">
        <v>91</v>
      </c>
      <c r="F66" s="8">
        <v>57</v>
      </c>
      <c r="G66" s="74">
        <v>18.568869372605946</v>
      </c>
      <c r="H66" s="74">
        <v>129.18968855571964</v>
      </c>
      <c r="I66" s="74">
        <v>32.241442071674491</v>
      </c>
      <c r="J66" s="77">
        <v>3101.9999999999982</v>
      </c>
      <c r="K66" s="74">
        <v>48.877397639399746</v>
      </c>
      <c r="L66" s="74">
        <v>81.884064383737083</v>
      </c>
      <c r="M66" s="74">
        <v>118.96217886370441</v>
      </c>
      <c r="N66" s="8" t="str">
        <f t="shared" si="0"/>
        <v>ir šaurleņķa</v>
      </c>
    </row>
    <row r="67" spans="1:14" ht="13.9" customHeight="1" x14ac:dyDescent="0.2">
      <c r="A67" s="8">
        <v>-18</v>
      </c>
      <c r="B67" s="8">
        <v>-76</v>
      </c>
      <c r="C67" s="8">
        <v>84</v>
      </c>
      <c r="D67" s="8">
        <v>52</v>
      </c>
      <c r="E67" s="8">
        <v>68</v>
      </c>
      <c r="F67" s="8">
        <v>-62</v>
      </c>
      <c r="G67" s="74">
        <v>107.23543951196018</v>
      </c>
      <c r="H67" s="74">
        <v>30.561138529760875</v>
      </c>
      <c r="I67" s="74">
        <v>42.20342195827908</v>
      </c>
      <c r="J67" s="77">
        <v>9580.0000000000146</v>
      </c>
      <c r="K67" s="74">
        <v>163.67040050051813</v>
      </c>
      <c r="L67" s="74">
        <v>115.11733144926528</v>
      </c>
      <c r="M67" s="74">
        <v>87.13208364316786</v>
      </c>
      <c r="N67" s="8" t="str">
        <f t="shared" si="0"/>
        <v>ir šaurleņķa</v>
      </c>
    </row>
    <row r="68" spans="1:14" ht="13.9" customHeight="1" x14ac:dyDescent="0.2">
      <c r="A68" s="8">
        <v>40</v>
      </c>
      <c r="B68" s="8">
        <v>-22</v>
      </c>
      <c r="C68" s="8">
        <v>-83</v>
      </c>
      <c r="D68" s="8">
        <v>-31</v>
      </c>
      <c r="E68" s="8">
        <v>13</v>
      </c>
      <c r="F68" s="8">
        <v>8</v>
      </c>
      <c r="G68" s="74">
        <v>109.87776415206494</v>
      </c>
      <c r="H68" s="74">
        <v>17.924532218633171</v>
      </c>
      <c r="I68" s="74">
        <v>52.197703629301685</v>
      </c>
      <c r="J68" s="77">
        <v>3932.9999999999818</v>
      </c>
      <c r="K68" s="74">
        <v>123.3288287465668</v>
      </c>
      <c r="L68" s="74">
        <v>103.61949623502326</v>
      </c>
      <c r="M68" s="74">
        <v>40.36087214122113</v>
      </c>
      <c r="N68" s="8" t="str">
        <f t="shared" si="0"/>
        <v>ir šaurleņķa</v>
      </c>
    </row>
    <row r="69" spans="1:14" ht="13.9" customHeight="1" x14ac:dyDescent="0.2">
      <c r="A69" s="8">
        <v>-89</v>
      </c>
      <c r="B69" s="8">
        <v>-7</v>
      </c>
      <c r="C69" s="8">
        <v>-37</v>
      </c>
      <c r="D69" s="8">
        <v>-55</v>
      </c>
      <c r="E69" s="8">
        <v>2</v>
      </c>
      <c r="F69" s="8">
        <v>85</v>
      </c>
      <c r="G69" s="74">
        <v>29.120593600122525</v>
      </c>
      <c r="H69" s="74">
        <v>62.856927867495344</v>
      </c>
      <c r="I69" s="74">
        <v>88.022478532382124</v>
      </c>
      <c r="J69" s="77">
        <v>9152</v>
      </c>
      <c r="K69" s="74">
        <v>70.767224051816527</v>
      </c>
      <c r="L69" s="74">
        <v>145.33065746772084</v>
      </c>
      <c r="M69" s="74">
        <v>129.40247292845683</v>
      </c>
      <c r="N69" s="8" t="str">
        <f t="shared" ref="N69:N71" si="1">IF(G69&gt;H969&gt;I969&gt;90,"ir šaurleņķa","nav šaurleņķa")</f>
        <v>ir šaurleņķa</v>
      </c>
    </row>
    <row r="70" spans="1:14" ht="13.9" customHeight="1" x14ac:dyDescent="0.2">
      <c r="A70" s="8">
        <v>53</v>
      </c>
      <c r="B70" s="8">
        <v>55</v>
      </c>
      <c r="C70" s="8">
        <v>55</v>
      </c>
      <c r="D70" s="8">
        <v>12</v>
      </c>
      <c r="E70" s="8">
        <v>50</v>
      </c>
      <c r="F70" s="8">
        <v>12</v>
      </c>
      <c r="G70" s="74">
        <v>86.009086901570186</v>
      </c>
      <c r="H70" s="74">
        <v>87.336999233932886</v>
      </c>
      <c r="I70" s="74">
        <v>6.6539138644968432</v>
      </c>
      <c r="J70" s="77">
        <v>215</v>
      </c>
      <c r="K70" s="74">
        <v>43.046486500061768</v>
      </c>
      <c r="L70" s="74">
        <v>5</v>
      </c>
      <c r="M70" s="74">
        <v>43.104524124504614</v>
      </c>
      <c r="N70" s="8" t="str">
        <f t="shared" si="1"/>
        <v>ir šaurleņķa</v>
      </c>
    </row>
    <row r="71" spans="1:14" ht="13.9" customHeight="1" x14ac:dyDescent="0.2">
      <c r="A71" s="8">
        <v>-94</v>
      </c>
      <c r="B71" s="8">
        <v>45</v>
      </c>
      <c r="C71" s="8">
        <v>-81</v>
      </c>
      <c r="D71" s="8">
        <v>82</v>
      </c>
      <c r="E71" s="8">
        <v>-7</v>
      </c>
      <c r="F71" s="8">
        <v>-98</v>
      </c>
      <c r="G71" s="74">
        <v>8.9678718998430966</v>
      </c>
      <c r="H71" s="74">
        <v>41.7071025236041</v>
      </c>
      <c r="I71" s="74">
        <v>129.32502557655272</v>
      </c>
      <c r="J71" s="77">
        <v>5077.9999999999973</v>
      </c>
      <c r="K71" s="74">
        <v>39.217343102255157</v>
      </c>
      <c r="L71" s="74">
        <v>194.61757371830529</v>
      </c>
      <c r="M71" s="74">
        <v>167.38578195294843</v>
      </c>
      <c r="N71" s="8" t="str">
        <f t="shared" si="1"/>
        <v>ir šaurleņķa</v>
      </c>
    </row>
  </sheetData>
  <mergeCells count="5">
    <mergeCell ref="P5:S5"/>
    <mergeCell ref="P8:S9"/>
    <mergeCell ref="P12:S18"/>
    <mergeCell ref="A2:F2"/>
    <mergeCell ref="I1:N1"/>
  </mergeCells>
  <printOptions gridLines="1"/>
  <pageMargins left="0.70866141732283472" right="0.70866141732283472" top="0.74803149606299213" bottom="0.74803149606299213" header="0.31496062992125984" footer="0.31496062992125984"/>
  <pageSetup paperSize="9" orientation="portrait" horizontalDpi="4294967293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tabSelected="1" zoomScale="95" workbookViewId="0">
      <selection activeCell="D2" sqref="D2"/>
    </sheetView>
  </sheetViews>
  <sheetFormatPr defaultColWidth="9.140625" defaultRowHeight="12.75" x14ac:dyDescent="0.2"/>
  <cols>
    <col min="1" max="1" width="21.140625" style="14" customWidth="1"/>
    <col min="2" max="2" width="15.7109375" style="22" customWidth="1"/>
    <col min="3" max="3" width="14.5703125" style="22" customWidth="1"/>
    <col min="4" max="4" width="23.140625" style="17" customWidth="1"/>
    <col min="5" max="10" width="9.140625" style="14"/>
    <col min="11" max="11" width="9.140625" style="29"/>
    <col min="12" max="16384" width="9.140625" style="14"/>
  </cols>
  <sheetData>
    <row r="1" spans="1:17" ht="55.5" customHeight="1" x14ac:dyDescent="0.2">
      <c r="A1" s="13"/>
      <c r="B1" s="23" t="s">
        <v>69</v>
      </c>
      <c r="C1" s="23" t="s">
        <v>70</v>
      </c>
      <c r="D1" s="19" t="s">
        <v>68</v>
      </c>
      <c r="F1" s="108"/>
      <c r="G1" s="108"/>
      <c r="H1" s="108"/>
      <c r="I1" s="108"/>
      <c r="J1" s="108"/>
      <c r="K1" s="31"/>
      <c r="M1" s="30"/>
      <c r="N1" s="30"/>
      <c r="O1" s="30"/>
      <c r="P1" s="30"/>
    </row>
    <row r="2" spans="1:17" ht="13.15" customHeight="1" x14ac:dyDescent="0.2">
      <c r="A2" s="13" t="s">
        <v>31</v>
      </c>
      <c r="B2" s="20">
        <v>2</v>
      </c>
      <c r="C2" s="21">
        <v>0</v>
      </c>
      <c r="D2" s="12"/>
      <c r="L2" s="104" t="s">
        <v>152</v>
      </c>
      <c r="M2" s="104"/>
      <c r="N2" s="104"/>
      <c r="O2" s="104"/>
      <c r="P2" s="104"/>
    </row>
    <row r="3" spans="1:17" ht="13.15" customHeight="1" x14ac:dyDescent="0.2">
      <c r="A3" s="13" t="s">
        <v>32</v>
      </c>
      <c r="B3" s="20">
        <v>1</v>
      </c>
      <c r="C3" s="21">
        <v>3.5000000000000003E-2</v>
      </c>
      <c r="D3" s="12"/>
      <c r="K3" s="29">
        <v>16</v>
      </c>
      <c r="L3" s="104"/>
      <c r="M3" s="104"/>
      <c r="N3" s="104"/>
      <c r="O3" s="104"/>
      <c r="P3" s="104"/>
      <c r="Q3" s="14" t="s">
        <v>73</v>
      </c>
    </row>
    <row r="4" spans="1:17" ht="13.15" customHeight="1" x14ac:dyDescent="0.2">
      <c r="A4" s="13" t="s">
        <v>33</v>
      </c>
      <c r="B4" s="20">
        <v>2</v>
      </c>
      <c r="C4" s="21">
        <v>0.03</v>
      </c>
      <c r="D4" s="12"/>
      <c r="L4" s="104"/>
      <c r="M4" s="104"/>
      <c r="N4" s="104"/>
      <c r="O4" s="104"/>
      <c r="P4" s="104"/>
    </row>
    <row r="5" spans="1:17" x14ac:dyDescent="0.2">
      <c r="A5" s="13" t="s">
        <v>34</v>
      </c>
      <c r="B5" s="20">
        <v>2</v>
      </c>
      <c r="C5" s="21">
        <v>2.5000000000000001E-2</v>
      </c>
      <c r="D5" s="12"/>
      <c r="L5" s="104"/>
      <c r="M5" s="104"/>
      <c r="N5" s="104"/>
      <c r="O5" s="104"/>
      <c r="P5" s="104"/>
    </row>
    <row r="6" spans="1:17" ht="13.9" customHeight="1" x14ac:dyDescent="0.2">
      <c r="A6" s="13" t="s">
        <v>35</v>
      </c>
      <c r="B6" s="20">
        <v>2</v>
      </c>
      <c r="C6" s="21">
        <v>5.0000000000000001E-3</v>
      </c>
      <c r="D6" s="12"/>
      <c r="L6" s="104"/>
      <c r="M6" s="104"/>
      <c r="N6" s="104"/>
      <c r="O6" s="104"/>
      <c r="P6" s="104"/>
    </row>
    <row r="7" spans="1:17" x14ac:dyDescent="0.2">
      <c r="A7" s="13" t="s">
        <v>36</v>
      </c>
      <c r="B7" s="20">
        <v>2</v>
      </c>
      <c r="C7" s="21">
        <v>5.0000000000000001E-3</v>
      </c>
      <c r="D7" s="12"/>
    </row>
    <row r="8" spans="1:17" x14ac:dyDescent="0.2">
      <c r="A8" s="13" t="s">
        <v>37</v>
      </c>
      <c r="B8" s="20">
        <v>1</v>
      </c>
      <c r="C8" s="21">
        <v>0.01</v>
      </c>
      <c r="D8" s="12"/>
      <c r="K8" s="29">
        <v>17</v>
      </c>
      <c r="L8" s="104" t="s">
        <v>72</v>
      </c>
      <c r="M8" s="104"/>
      <c r="N8" s="104"/>
      <c r="O8" s="104"/>
      <c r="P8" s="104"/>
      <c r="Q8" s="14" t="s">
        <v>74</v>
      </c>
    </row>
    <row r="9" spans="1:17" x14ac:dyDescent="0.2">
      <c r="A9" s="13" t="s">
        <v>38</v>
      </c>
      <c r="B9" s="20">
        <v>1</v>
      </c>
      <c r="C9" s="21">
        <v>0.01</v>
      </c>
      <c r="D9" s="12"/>
      <c r="L9" s="104"/>
      <c r="M9" s="104"/>
      <c r="N9" s="104"/>
      <c r="O9" s="104"/>
      <c r="P9" s="104"/>
    </row>
    <row r="10" spans="1:17" x14ac:dyDescent="0.2">
      <c r="A10" s="13" t="s">
        <v>39</v>
      </c>
      <c r="B10" s="20">
        <v>1</v>
      </c>
      <c r="C10" s="21">
        <v>1.4999999999999999E-2</v>
      </c>
      <c r="D10" s="12"/>
    </row>
    <row r="11" spans="1:17" x14ac:dyDescent="0.2">
      <c r="A11" s="13" t="s">
        <v>40</v>
      </c>
      <c r="B11" s="20">
        <v>1</v>
      </c>
      <c r="C11" s="21">
        <v>0.03</v>
      </c>
      <c r="D11" s="12"/>
    </row>
    <row r="12" spans="1:17" x14ac:dyDescent="0.2">
      <c r="A12" s="13" t="s">
        <v>41</v>
      </c>
      <c r="B12" s="20">
        <v>1</v>
      </c>
      <c r="C12" s="21">
        <v>0.02</v>
      </c>
      <c r="D12" s="12"/>
    </row>
    <row r="13" spans="1:17" x14ac:dyDescent="0.2">
      <c r="A13" s="13" t="s">
        <v>42</v>
      </c>
      <c r="B13" s="20">
        <v>2</v>
      </c>
      <c r="C13" s="21">
        <v>2.5000000000000001E-2</v>
      </c>
      <c r="D13" s="12"/>
    </row>
    <row r="14" spans="1:17" x14ac:dyDescent="0.2">
      <c r="A14" s="13" t="s">
        <v>43</v>
      </c>
      <c r="B14" s="20">
        <v>1</v>
      </c>
      <c r="C14" s="21">
        <v>0.02</v>
      </c>
      <c r="D14" s="12"/>
    </row>
    <row r="15" spans="1:17" x14ac:dyDescent="0.2">
      <c r="A15" s="13" t="s">
        <v>44</v>
      </c>
      <c r="B15" s="20">
        <v>60</v>
      </c>
      <c r="C15" s="21">
        <v>0.03</v>
      </c>
      <c r="D15" s="12"/>
    </row>
    <row r="16" spans="1:17" x14ac:dyDescent="0.2">
      <c r="A16" s="13" t="s">
        <v>45</v>
      </c>
      <c r="B16" s="20">
        <v>1</v>
      </c>
      <c r="C16" s="21">
        <v>2.5000000000000001E-2</v>
      </c>
      <c r="D16" s="12"/>
    </row>
    <row r="17" spans="1:4" x14ac:dyDescent="0.2">
      <c r="A17" s="13" t="s">
        <v>46</v>
      </c>
      <c r="B17" s="20">
        <v>1</v>
      </c>
      <c r="C17" s="21">
        <v>1.4999999999999999E-2</v>
      </c>
      <c r="D17" s="12"/>
    </row>
    <row r="18" spans="1:4" x14ac:dyDescent="0.2">
      <c r="A18" s="13" t="s">
        <v>47</v>
      </c>
      <c r="B18" s="20">
        <v>1</v>
      </c>
      <c r="C18" s="21">
        <v>4.4999999999999998E-2</v>
      </c>
      <c r="D18" s="12"/>
    </row>
    <row r="19" spans="1:4" x14ac:dyDescent="0.2">
      <c r="A19" s="13" t="s">
        <v>48</v>
      </c>
      <c r="B19" s="20">
        <v>1</v>
      </c>
      <c r="C19" s="21">
        <v>4.4999999999999998E-2</v>
      </c>
      <c r="D19" s="12"/>
    </row>
    <row r="20" spans="1:4" x14ac:dyDescent="0.2">
      <c r="A20" s="13" t="s">
        <v>49</v>
      </c>
      <c r="B20" s="20">
        <v>1</v>
      </c>
      <c r="C20" s="21">
        <v>2.5000000000000001E-2</v>
      </c>
      <c r="D20" s="12"/>
    </row>
    <row r="21" spans="1:4" x14ac:dyDescent="0.2">
      <c r="A21" s="13" t="s">
        <v>50</v>
      </c>
      <c r="B21" s="20"/>
      <c r="C21" s="21">
        <v>1.4999999999999999E-2</v>
      </c>
      <c r="D21" s="12"/>
    </row>
    <row r="22" spans="1:4" x14ac:dyDescent="0.2">
      <c r="A22" s="13" t="s">
        <v>51</v>
      </c>
      <c r="B22" s="20"/>
      <c r="C22" s="21">
        <v>0.05</v>
      </c>
      <c r="D22" s="12"/>
    </row>
    <row r="23" spans="1:4" x14ac:dyDescent="0.2">
      <c r="A23" s="13" t="s">
        <v>52</v>
      </c>
      <c r="B23" s="20">
        <v>2</v>
      </c>
      <c r="C23" s="21">
        <v>0.04</v>
      </c>
      <c r="D23" s="12"/>
    </row>
    <row r="24" spans="1:4" x14ac:dyDescent="0.2">
      <c r="A24" s="13" t="s">
        <v>53</v>
      </c>
      <c r="B24" s="20">
        <v>2</v>
      </c>
      <c r="C24" s="21">
        <v>0.01</v>
      </c>
      <c r="D24" s="12"/>
    </row>
    <row r="25" spans="1:4" x14ac:dyDescent="0.2">
      <c r="A25" s="13" t="s">
        <v>54</v>
      </c>
      <c r="B25" s="20">
        <v>2</v>
      </c>
      <c r="C25" s="21">
        <v>3.5000000000000003E-2</v>
      </c>
      <c r="D25" s="12"/>
    </row>
    <row r="26" spans="1:4" x14ac:dyDescent="0.2">
      <c r="A26" s="13" t="s">
        <v>55</v>
      </c>
      <c r="B26" s="20">
        <v>2</v>
      </c>
      <c r="C26" s="21">
        <v>0.01</v>
      </c>
      <c r="D26" s="12"/>
    </row>
    <row r="27" spans="1:4" x14ac:dyDescent="0.2">
      <c r="A27" s="13" t="s">
        <v>56</v>
      </c>
      <c r="B27" s="20"/>
      <c r="C27" s="21">
        <v>0</v>
      </c>
      <c r="D27" s="12"/>
    </row>
    <row r="28" spans="1:4" x14ac:dyDescent="0.2">
      <c r="A28" s="13" t="s">
        <v>57</v>
      </c>
      <c r="B28" s="20">
        <v>4</v>
      </c>
      <c r="C28" s="21">
        <v>0.02</v>
      </c>
      <c r="D28" s="12"/>
    </row>
    <row r="29" spans="1:4" x14ac:dyDescent="0.2">
      <c r="B29" s="109" t="s">
        <v>71</v>
      </c>
      <c r="C29" s="110"/>
      <c r="D29" s="18"/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40625" defaultRowHeight="12.75" x14ac:dyDescent="0.2"/>
  <cols>
    <col min="1" max="1" width="26.140625" style="13" customWidth="1"/>
    <col min="2" max="2" width="9.28515625" style="15" customWidth="1"/>
    <col min="3" max="3" width="9.28515625" style="26" customWidth="1"/>
    <col min="4" max="8" width="9.28515625" style="15" customWidth="1"/>
    <col min="10" max="11" width="9.28515625" style="15" customWidth="1"/>
    <col min="12" max="16384" width="9.140625" style="13"/>
  </cols>
  <sheetData>
    <row r="1" spans="1:11" x14ac:dyDescent="0.2">
      <c r="B1" s="28" t="s">
        <v>65</v>
      </c>
      <c r="C1" s="28" t="s">
        <v>60</v>
      </c>
      <c r="D1" s="28" t="s">
        <v>61</v>
      </c>
      <c r="E1" s="28" t="s">
        <v>64</v>
      </c>
      <c r="F1" s="28" t="s">
        <v>62</v>
      </c>
      <c r="G1" s="28" t="s">
        <v>66</v>
      </c>
      <c r="H1" s="28" t="s">
        <v>63</v>
      </c>
      <c r="I1" s="27" t="s">
        <v>59</v>
      </c>
      <c r="J1" s="27" t="s">
        <v>58</v>
      </c>
      <c r="K1" s="28" t="s">
        <v>67</v>
      </c>
    </row>
    <row r="2" spans="1:11" x14ac:dyDescent="0.2">
      <c r="A2" s="13" t="s">
        <v>31</v>
      </c>
      <c r="B2" s="16">
        <v>39.799999999999997</v>
      </c>
      <c r="C2" s="16">
        <v>28</v>
      </c>
      <c r="D2" s="16">
        <v>32.200000000000003</v>
      </c>
      <c r="E2" s="16">
        <v>33.6</v>
      </c>
      <c r="F2" s="16">
        <v>33.1</v>
      </c>
      <c r="G2" s="16">
        <v>37.1</v>
      </c>
      <c r="H2" s="16">
        <v>38.299999999999997</v>
      </c>
      <c r="I2" s="25">
        <v>40</v>
      </c>
      <c r="J2" s="24">
        <v>25</v>
      </c>
      <c r="K2" s="16">
        <v>42.5</v>
      </c>
    </row>
    <row r="3" spans="1:11" x14ac:dyDescent="0.2">
      <c r="A3" s="13" t="s">
        <v>32</v>
      </c>
      <c r="B3" s="16">
        <v>74.900000000000006</v>
      </c>
      <c r="C3" s="16">
        <v>67.3</v>
      </c>
      <c r="D3" s="16">
        <v>81.5</v>
      </c>
      <c r="E3" s="16">
        <v>71.2</v>
      </c>
      <c r="F3" s="16">
        <v>68.2</v>
      </c>
      <c r="G3" s="16">
        <v>72.400000000000006</v>
      </c>
      <c r="H3" s="16">
        <v>81.3</v>
      </c>
      <c r="I3" s="25">
        <v>79</v>
      </c>
      <c r="J3" s="24">
        <v>50</v>
      </c>
      <c r="K3" s="16">
        <v>80.2</v>
      </c>
    </row>
    <row r="4" spans="1:11" x14ac:dyDescent="0.2">
      <c r="A4" s="13" t="s">
        <v>33</v>
      </c>
      <c r="B4" s="16">
        <v>198.2</v>
      </c>
      <c r="C4" s="16">
        <v>190.5</v>
      </c>
      <c r="D4" s="16">
        <v>202.8</v>
      </c>
      <c r="E4" s="16">
        <v>193.7</v>
      </c>
      <c r="F4" s="16">
        <v>190.7</v>
      </c>
      <c r="G4" s="16">
        <v>194.8</v>
      </c>
      <c r="H4" s="16">
        <v>197.5</v>
      </c>
      <c r="I4" s="25">
        <v>245</v>
      </c>
      <c r="J4" s="24">
        <v>135</v>
      </c>
      <c r="K4" s="16">
        <v>207.4</v>
      </c>
    </row>
    <row r="5" spans="1:11" x14ac:dyDescent="0.2">
      <c r="A5" s="13" t="s">
        <v>34</v>
      </c>
      <c r="B5" s="16">
        <v>99.4</v>
      </c>
      <c r="C5" s="16">
        <v>76.2</v>
      </c>
      <c r="D5" s="16">
        <v>97.1</v>
      </c>
      <c r="E5" s="16">
        <v>86.7</v>
      </c>
      <c r="F5" s="16">
        <v>82.3</v>
      </c>
      <c r="G5" s="16">
        <v>87.4</v>
      </c>
      <c r="H5" s="16">
        <v>98.1</v>
      </c>
      <c r="I5" s="25">
        <v>90</v>
      </c>
      <c r="J5" s="24">
        <v>70</v>
      </c>
      <c r="K5" s="16">
        <v>100.6</v>
      </c>
    </row>
    <row r="6" spans="1:11" x14ac:dyDescent="0.2">
      <c r="A6" s="13" t="s">
        <v>35</v>
      </c>
      <c r="B6" s="16">
        <v>97.3</v>
      </c>
      <c r="C6" s="16">
        <v>81.599999999999994</v>
      </c>
      <c r="D6" s="16">
        <v>139.80000000000001</v>
      </c>
      <c r="E6" s="16">
        <v>95.6</v>
      </c>
      <c r="F6" s="16">
        <v>83.6</v>
      </c>
      <c r="G6" s="16">
        <v>99</v>
      </c>
      <c r="H6" s="16">
        <v>137.80000000000001</v>
      </c>
      <c r="I6" s="25">
        <v>159</v>
      </c>
      <c r="J6" s="24">
        <v>70</v>
      </c>
      <c r="K6" s="16">
        <v>98.4</v>
      </c>
    </row>
    <row r="7" spans="1:11" x14ac:dyDescent="0.2">
      <c r="A7" s="13" t="s">
        <v>36</v>
      </c>
      <c r="B7" s="16">
        <v>73.400000000000006</v>
      </c>
      <c r="C7" s="16">
        <v>60</v>
      </c>
      <c r="D7" s="16">
        <v>77</v>
      </c>
      <c r="E7" s="16">
        <v>69.599999999999994</v>
      </c>
      <c r="F7" s="16">
        <v>61.7</v>
      </c>
      <c r="G7" s="16">
        <v>71.2</v>
      </c>
      <c r="H7" s="16">
        <v>86.3</v>
      </c>
      <c r="I7" s="25">
        <v>70</v>
      </c>
      <c r="J7" s="24">
        <v>60</v>
      </c>
      <c r="K7" s="16">
        <v>73</v>
      </c>
    </row>
    <row r="8" spans="1:11" x14ac:dyDescent="0.2">
      <c r="A8" s="13" t="s">
        <v>37</v>
      </c>
      <c r="B8" s="16">
        <v>36.799999999999997</v>
      </c>
      <c r="C8" s="16">
        <v>35.200000000000003</v>
      </c>
      <c r="D8" s="16">
        <v>46.4</v>
      </c>
      <c r="E8" s="16">
        <v>36.1</v>
      </c>
      <c r="F8" s="16">
        <v>35.4</v>
      </c>
      <c r="G8" s="16">
        <v>43</v>
      </c>
      <c r="H8" s="16">
        <v>36</v>
      </c>
      <c r="I8" s="25">
        <v>40</v>
      </c>
      <c r="J8" s="24">
        <v>35</v>
      </c>
      <c r="K8" s="16">
        <v>38.700000000000003</v>
      </c>
    </row>
    <row r="9" spans="1:11" x14ac:dyDescent="0.2">
      <c r="A9" s="13" t="s">
        <v>38</v>
      </c>
      <c r="B9" s="16">
        <v>64.400000000000006</v>
      </c>
      <c r="C9" s="16">
        <v>62.4</v>
      </c>
      <c r="D9" s="16">
        <v>72.3</v>
      </c>
      <c r="E9" s="16">
        <v>68.900000000000006</v>
      </c>
      <c r="F9" s="16">
        <v>62.4</v>
      </c>
      <c r="G9" s="16">
        <v>67</v>
      </c>
      <c r="H9" s="16">
        <v>63.1</v>
      </c>
      <c r="I9" s="25">
        <v>80</v>
      </c>
      <c r="J9" s="24">
        <v>53</v>
      </c>
      <c r="K9" s="16">
        <v>69.900000000000006</v>
      </c>
    </row>
    <row r="10" spans="1:11" x14ac:dyDescent="0.2">
      <c r="A10" s="13" t="s">
        <v>39</v>
      </c>
      <c r="B10" s="16">
        <v>25.1</v>
      </c>
      <c r="C10" s="16">
        <v>17.5</v>
      </c>
      <c r="D10" s="16">
        <v>23.3</v>
      </c>
      <c r="E10" s="16">
        <v>20.3</v>
      </c>
      <c r="F10" s="16">
        <v>20.3</v>
      </c>
      <c r="G10" s="16">
        <v>24.3</v>
      </c>
      <c r="H10" s="16">
        <v>28.9</v>
      </c>
      <c r="I10" s="25">
        <v>20</v>
      </c>
      <c r="J10" s="24">
        <v>16</v>
      </c>
      <c r="K10" s="16">
        <v>34.1</v>
      </c>
    </row>
    <row r="11" spans="1:11" x14ac:dyDescent="0.2">
      <c r="A11" s="13" t="s">
        <v>40</v>
      </c>
      <c r="B11" s="16">
        <v>49.2</v>
      </c>
      <c r="C11" s="16">
        <v>43</v>
      </c>
      <c r="D11" s="16">
        <v>58.5</v>
      </c>
      <c r="E11" s="16">
        <v>47.1</v>
      </c>
      <c r="F11" s="16">
        <v>46.6</v>
      </c>
      <c r="G11" s="16">
        <v>48.8</v>
      </c>
      <c r="H11" s="16">
        <v>58.5</v>
      </c>
      <c r="I11" s="25">
        <v>55</v>
      </c>
      <c r="J11" s="24">
        <v>35</v>
      </c>
      <c r="K11" s="16">
        <v>54.1</v>
      </c>
    </row>
    <row r="12" spans="1:11" x14ac:dyDescent="0.2">
      <c r="A12" s="13" t="s">
        <v>41</v>
      </c>
      <c r="B12" s="16">
        <v>99.8</v>
      </c>
      <c r="C12" s="16">
        <v>77.2</v>
      </c>
      <c r="D12" s="16">
        <v>90.9</v>
      </c>
      <c r="E12" s="16">
        <v>83.7</v>
      </c>
      <c r="F12" s="16">
        <v>79.900000000000006</v>
      </c>
      <c r="G12" s="16">
        <v>89.7</v>
      </c>
      <c r="H12" s="16">
        <v>95.7</v>
      </c>
      <c r="I12" s="25">
        <v>100</v>
      </c>
      <c r="J12" s="24">
        <v>50</v>
      </c>
      <c r="K12" s="16">
        <v>92.2</v>
      </c>
    </row>
    <row r="13" spans="1:11" x14ac:dyDescent="0.2">
      <c r="A13" s="13" t="s">
        <v>42</v>
      </c>
      <c r="B13" s="16">
        <v>83.4</v>
      </c>
      <c r="C13" s="16">
        <v>122.4</v>
      </c>
      <c r="D13" s="16">
        <v>82.4</v>
      </c>
      <c r="E13" s="16">
        <v>93.1</v>
      </c>
      <c r="F13" s="16">
        <v>90.7</v>
      </c>
      <c r="G13" s="16">
        <v>101.5</v>
      </c>
      <c r="H13" s="16">
        <v>83.3</v>
      </c>
      <c r="I13" s="25">
        <v>50</v>
      </c>
      <c r="J13" s="24">
        <v>130</v>
      </c>
      <c r="K13" s="16">
        <v>89.7</v>
      </c>
    </row>
    <row r="14" spans="1:11" x14ac:dyDescent="0.2">
      <c r="A14" s="13" t="s">
        <v>43</v>
      </c>
      <c r="B14" s="16">
        <v>170.2</v>
      </c>
      <c r="C14" s="16">
        <v>284.8</v>
      </c>
      <c r="D14" s="16">
        <v>143.80000000000001</v>
      </c>
      <c r="E14" s="16">
        <v>177.9</v>
      </c>
      <c r="F14" s="16">
        <v>221.8</v>
      </c>
      <c r="G14" s="16">
        <v>175.6</v>
      </c>
      <c r="H14" s="16">
        <v>169.9</v>
      </c>
      <c r="I14" s="25">
        <v>129</v>
      </c>
      <c r="J14" s="24">
        <v>320</v>
      </c>
      <c r="K14" s="16">
        <v>174.4</v>
      </c>
    </row>
    <row r="15" spans="1:11" x14ac:dyDescent="0.2">
      <c r="A15" s="13" t="s">
        <v>44</v>
      </c>
      <c r="B15" s="16">
        <v>28</v>
      </c>
      <c r="C15" s="16">
        <v>43.2</v>
      </c>
      <c r="D15" s="16">
        <v>21.7</v>
      </c>
      <c r="E15" s="16">
        <v>38.299999999999997</v>
      </c>
      <c r="F15" s="16">
        <v>34.1</v>
      </c>
      <c r="G15" s="16">
        <v>31.8</v>
      </c>
      <c r="H15" s="16">
        <v>22.9</v>
      </c>
      <c r="I15" s="25">
        <v>20</v>
      </c>
      <c r="J15" s="24">
        <v>60</v>
      </c>
      <c r="K15" s="16">
        <v>33.700000000000003</v>
      </c>
    </row>
    <row r="16" spans="1:11" x14ac:dyDescent="0.2">
      <c r="A16" s="13" t="s">
        <v>45</v>
      </c>
      <c r="B16" s="16">
        <v>23</v>
      </c>
      <c r="C16" s="16">
        <v>18.899999999999999</v>
      </c>
      <c r="D16" s="16">
        <v>18.2</v>
      </c>
      <c r="E16" s="16">
        <v>33.299999999999997</v>
      </c>
      <c r="F16" s="16">
        <v>25.1</v>
      </c>
      <c r="G16" s="16">
        <v>24.4</v>
      </c>
      <c r="H16" s="16">
        <v>19.5</v>
      </c>
      <c r="I16" s="25">
        <v>15</v>
      </c>
      <c r="J16" s="24">
        <v>60</v>
      </c>
      <c r="K16" s="16">
        <v>25</v>
      </c>
    </row>
    <row r="17" spans="1:11" x14ac:dyDescent="0.2">
      <c r="A17" s="13" t="s">
        <v>46</v>
      </c>
      <c r="B17" s="16">
        <v>26.9</v>
      </c>
      <c r="C17" s="16">
        <v>30.4</v>
      </c>
      <c r="D17" s="16">
        <v>20</v>
      </c>
      <c r="E17" s="16">
        <v>38.9</v>
      </c>
      <c r="F17" s="16">
        <v>34.299999999999997</v>
      </c>
      <c r="G17" s="16">
        <v>39.5</v>
      </c>
      <c r="H17" s="16">
        <v>23.4</v>
      </c>
      <c r="I17" s="25">
        <v>20</v>
      </c>
      <c r="J17" s="24">
        <v>24</v>
      </c>
      <c r="K17" s="16">
        <v>28.1</v>
      </c>
    </row>
    <row r="18" spans="1:11" x14ac:dyDescent="0.2">
      <c r="A18" s="13" t="s">
        <v>47</v>
      </c>
      <c r="B18" s="16">
        <v>210.7</v>
      </c>
      <c r="C18" s="16">
        <v>213.2</v>
      </c>
      <c r="D18" s="16">
        <v>201</v>
      </c>
      <c r="E18" s="16">
        <v>209.9</v>
      </c>
      <c r="F18" s="16">
        <v>203.5</v>
      </c>
      <c r="G18" s="16">
        <v>211.9</v>
      </c>
      <c r="H18" s="16">
        <v>206.8</v>
      </c>
      <c r="I18" s="25">
        <v>200</v>
      </c>
      <c r="J18" s="24">
        <v>250</v>
      </c>
      <c r="K18" s="16">
        <v>213.8</v>
      </c>
    </row>
    <row r="19" spans="1:11" x14ac:dyDescent="0.2">
      <c r="A19" s="13" t="s">
        <v>48</v>
      </c>
      <c r="B19" s="16">
        <v>18.2</v>
      </c>
      <c r="C19" s="16">
        <v>15.8</v>
      </c>
      <c r="D19" s="16">
        <v>18</v>
      </c>
      <c r="E19" s="16">
        <v>17.7</v>
      </c>
      <c r="F19" s="16">
        <v>17.5</v>
      </c>
      <c r="G19" s="16">
        <v>26.2</v>
      </c>
      <c r="H19" s="16">
        <v>27.2</v>
      </c>
      <c r="I19" s="25">
        <v>14</v>
      </c>
      <c r="J19" s="24">
        <v>14</v>
      </c>
      <c r="K19" s="16">
        <v>18.3</v>
      </c>
    </row>
    <row r="20" spans="1:11" x14ac:dyDescent="0.2">
      <c r="A20" s="13" t="s">
        <v>49</v>
      </c>
      <c r="B20" s="16">
        <v>27.1</v>
      </c>
      <c r="C20" s="16">
        <v>35.700000000000003</v>
      </c>
      <c r="D20" s="16">
        <v>22.5</v>
      </c>
      <c r="E20" s="16">
        <v>29.5</v>
      </c>
      <c r="F20" s="16">
        <v>28.5</v>
      </c>
      <c r="G20" s="16">
        <v>39.299999999999997</v>
      </c>
      <c r="H20" s="16">
        <v>24.5</v>
      </c>
      <c r="I20" s="25">
        <v>19</v>
      </c>
      <c r="J20" s="24">
        <v>40</v>
      </c>
      <c r="K20" s="16">
        <v>27.5</v>
      </c>
    </row>
    <row r="21" spans="1:11" x14ac:dyDescent="0.2">
      <c r="A21" s="13" t="s">
        <v>50</v>
      </c>
      <c r="B21" s="16">
        <v>54</v>
      </c>
      <c r="C21" s="16">
        <v>60.3</v>
      </c>
      <c r="D21" s="16">
        <v>36.200000000000003</v>
      </c>
      <c r="E21" s="16">
        <v>64</v>
      </c>
      <c r="F21" s="16">
        <v>66.099999999999994</v>
      </c>
      <c r="G21" s="16">
        <v>63.2</v>
      </c>
      <c r="H21" s="16">
        <v>52.8</v>
      </c>
      <c r="I21" s="25">
        <v>24</v>
      </c>
      <c r="J21" s="24">
        <v>55</v>
      </c>
      <c r="K21" s="16">
        <v>54.8</v>
      </c>
    </row>
    <row r="22" spans="1:11" x14ac:dyDescent="0.2">
      <c r="A22" s="13" t="s">
        <v>51</v>
      </c>
      <c r="B22" s="16">
        <v>44.6</v>
      </c>
      <c r="C22" s="16">
        <v>52.4</v>
      </c>
      <c r="D22" s="16">
        <v>42</v>
      </c>
      <c r="E22" s="16">
        <v>56.3</v>
      </c>
      <c r="F22" s="16">
        <v>46.4</v>
      </c>
      <c r="G22" s="16">
        <v>63.2</v>
      </c>
      <c r="H22" s="16">
        <v>44.4</v>
      </c>
      <c r="I22" s="25">
        <v>35</v>
      </c>
      <c r="J22" s="24">
        <v>55</v>
      </c>
      <c r="K22" s="16">
        <v>50.6</v>
      </c>
    </row>
    <row r="23" spans="1:11" x14ac:dyDescent="0.2">
      <c r="A23" s="13" t="s">
        <v>52</v>
      </c>
      <c r="B23" s="16">
        <v>39.4</v>
      </c>
      <c r="C23" s="16">
        <v>48.6</v>
      </c>
      <c r="D23" s="16">
        <v>38.299999999999997</v>
      </c>
      <c r="E23" s="16">
        <v>45.6</v>
      </c>
      <c r="F23" s="16">
        <v>48.4</v>
      </c>
      <c r="G23" s="16">
        <v>50.4</v>
      </c>
      <c r="H23" s="16">
        <v>38.299999999999997</v>
      </c>
      <c r="I23" s="25">
        <v>38</v>
      </c>
      <c r="J23" s="24">
        <v>40</v>
      </c>
      <c r="K23" s="16">
        <v>39.6</v>
      </c>
    </row>
    <row r="24" spans="1:11" x14ac:dyDescent="0.2">
      <c r="A24" s="13" t="s">
        <v>53</v>
      </c>
      <c r="B24" s="16">
        <v>52.8</v>
      </c>
      <c r="C24" s="16">
        <v>62.8</v>
      </c>
      <c r="D24" s="16">
        <v>52</v>
      </c>
      <c r="E24" s="16">
        <v>65.3</v>
      </c>
      <c r="F24" s="16">
        <v>61.8</v>
      </c>
      <c r="G24" s="16">
        <v>61.8</v>
      </c>
      <c r="H24" s="16">
        <v>52</v>
      </c>
      <c r="I24" s="25">
        <v>51</v>
      </c>
      <c r="J24" s="24">
        <v>80</v>
      </c>
      <c r="K24" s="16">
        <v>53.5</v>
      </c>
    </row>
    <row r="25" spans="1:11" x14ac:dyDescent="0.2">
      <c r="A25" s="13" t="s">
        <v>54</v>
      </c>
      <c r="B25" s="16">
        <v>19</v>
      </c>
      <c r="C25" s="16">
        <v>13.2</v>
      </c>
      <c r="D25" s="16">
        <v>18.600000000000001</v>
      </c>
      <c r="E25" s="16">
        <v>22.1</v>
      </c>
      <c r="F25" s="16">
        <v>14.5</v>
      </c>
      <c r="G25" s="16">
        <v>20.100000000000001</v>
      </c>
      <c r="H25" s="16">
        <v>15.7</v>
      </c>
      <c r="I25" s="25">
        <v>12</v>
      </c>
      <c r="J25" s="24">
        <v>12</v>
      </c>
      <c r="K25" s="16">
        <v>22</v>
      </c>
    </row>
    <row r="26" spans="1:11" x14ac:dyDescent="0.2">
      <c r="A26" s="13" t="s">
        <v>55</v>
      </c>
      <c r="B26" s="16">
        <v>12.9</v>
      </c>
      <c r="C26" s="16">
        <v>19.5</v>
      </c>
      <c r="D26" s="16">
        <v>12.1</v>
      </c>
      <c r="E26" s="16">
        <v>20.100000000000001</v>
      </c>
      <c r="F26" s="16">
        <v>21.6</v>
      </c>
      <c r="G26" s="16">
        <v>25</v>
      </c>
      <c r="H26" s="16">
        <v>12.4</v>
      </c>
      <c r="I26" s="25">
        <v>12</v>
      </c>
      <c r="J26" s="24">
        <v>12</v>
      </c>
      <c r="K26" s="16">
        <v>14.4</v>
      </c>
    </row>
    <row r="27" spans="1:11" x14ac:dyDescent="0.2">
      <c r="A27" s="13" t="s">
        <v>56</v>
      </c>
      <c r="B27" s="16">
        <v>59.6</v>
      </c>
      <c r="C27" s="16">
        <v>50.5</v>
      </c>
      <c r="D27" s="16">
        <v>60</v>
      </c>
      <c r="E27" s="16">
        <v>51</v>
      </c>
      <c r="F27" s="16">
        <v>50.5</v>
      </c>
      <c r="G27" s="16">
        <v>51.3</v>
      </c>
      <c r="H27" s="16">
        <v>56.6</v>
      </c>
      <c r="I27" s="25">
        <v>55</v>
      </c>
      <c r="J27" s="24">
        <v>50</v>
      </c>
      <c r="K27" s="16">
        <v>55.6</v>
      </c>
    </row>
    <row r="28" spans="1:11" x14ac:dyDescent="0.2">
      <c r="A28" s="13" t="s">
        <v>57</v>
      </c>
      <c r="B28" s="16">
        <v>3.5</v>
      </c>
      <c r="C28" s="16">
        <v>10.4</v>
      </c>
      <c r="D28" s="16">
        <v>1.2</v>
      </c>
      <c r="E28" s="16">
        <v>7</v>
      </c>
      <c r="F28" s="16">
        <v>11.2</v>
      </c>
      <c r="G28" s="16">
        <v>14.5</v>
      </c>
      <c r="H28" s="16">
        <v>1.2</v>
      </c>
      <c r="I28" s="25">
        <v>1</v>
      </c>
      <c r="J28" s="24">
        <v>1</v>
      </c>
      <c r="K28" s="16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H9" sqref="H9"/>
    </sheetView>
  </sheetViews>
  <sheetFormatPr defaultColWidth="8.85546875" defaultRowHeight="12.75" x14ac:dyDescent="0.2"/>
  <cols>
    <col min="1" max="1" width="11.140625" style="10" customWidth="1"/>
    <col min="2" max="16384" width="8.85546875" style="10"/>
  </cols>
  <sheetData>
    <row r="1" spans="1:16" ht="18" x14ac:dyDescent="0.25">
      <c r="A1" s="9" t="s">
        <v>29</v>
      </c>
      <c r="B1" s="9"/>
      <c r="C1" s="9"/>
      <c r="D1" s="9"/>
      <c r="E1" s="9"/>
      <c r="F1" s="9"/>
      <c r="G1" s="9"/>
    </row>
    <row r="2" spans="1:16" x14ac:dyDescent="0.2">
      <c r="B2" s="111" t="s">
        <v>11</v>
      </c>
      <c r="C2" s="111"/>
      <c r="D2" s="111"/>
      <c r="E2" s="111"/>
      <c r="F2" s="111"/>
      <c r="G2" s="111"/>
    </row>
    <row r="3" spans="1:16" ht="13.9" customHeight="1" x14ac:dyDescent="0.2">
      <c r="A3" s="89" t="s">
        <v>30</v>
      </c>
      <c r="B3" s="10">
        <v>10</v>
      </c>
      <c r="C3" s="10">
        <v>12</v>
      </c>
      <c r="D3" s="10">
        <v>14</v>
      </c>
      <c r="E3" s="10">
        <v>16</v>
      </c>
      <c r="F3" s="10">
        <v>18</v>
      </c>
      <c r="G3" s="10">
        <v>20</v>
      </c>
      <c r="J3" s="29">
        <v>18</v>
      </c>
      <c r="K3" s="103" t="s">
        <v>153</v>
      </c>
      <c r="L3" s="103"/>
      <c r="M3" s="103"/>
      <c r="N3" s="103"/>
      <c r="O3" s="103"/>
      <c r="P3" s="10" t="s">
        <v>75</v>
      </c>
    </row>
    <row r="4" spans="1:16" x14ac:dyDescent="0.2">
      <c r="A4" s="11">
        <v>20</v>
      </c>
      <c r="B4" s="12">
        <f>(B$3*SIN(A4))*(B$3*SIN(A4))/2</f>
        <v>41.673451541306548</v>
      </c>
      <c r="C4" s="12">
        <f>(C$3*SIN(A4))*(C$3*SIN(A4))/2</f>
        <v>60.009770219481425</v>
      </c>
      <c r="D4" s="12">
        <f>(D$3*SIN(A4))*(D$3*SIN(A4))/2</f>
        <v>81.679965020960836</v>
      </c>
      <c r="E4" s="12">
        <f>(E$3*SIN(A4))*(E$3*SIN(A4))/2</f>
        <v>106.68403594574477</v>
      </c>
      <c r="F4" s="12">
        <f>(F$3*SIN(A4))*(F$3*SIN(A4))/2</f>
        <v>135.02198299383321</v>
      </c>
      <c r="G4" s="12">
        <f>(G$3*SIN(A4))*(G$3*SIN(A4))/2</f>
        <v>166.69380616522619</v>
      </c>
      <c r="K4" s="103"/>
      <c r="L4" s="103"/>
      <c r="M4" s="103"/>
      <c r="N4" s="103"/>
      <c r="O4" s="103"/>
    </row>
    <row r="5" spans="1:16" x14ac:dyDescent="0.2">
      <c r="A5" s="11">
        <v>30</v>
      </c>
      <c r="B5" s="12">
        <f t="shared" ref="B5:B9" si="0">(B$3*SIN(A5))*(B$3*SIN(A5))/2</f>
        <v>48.810324510378912</v>
      </c>
      <c r="C5" s="12">
        <f t="shared" ref="C5:C9" si="1">(C$3*SIN(A5))*(C$3*SIN(A5))/2</f>
        <v>70.286867294945637</v>
      </c>
      <c r="D5" s="12">
        <f t="shared" ref="D5:D9" si="2">(D$3*SIN(A5))*(D$3*SIN(A5))/2</f>
        <v>95.668236040342663</v>
      </c>
      <c r="E5" s="12">
        <f t="shared" ref="E5:E9" si="3">(E$3*SIN(A5))*(E$3*SIN(A5))/2</f>
        <v>124.95443074657001</v>
      </c>
      <c r="F5" s="12">
        <f t="shared" ref="F5:F9" si="4">(F$3*SIN(A5))*(F$3*SIN(A5))/2</f>
        <v>158.14545141362765</v>
      </c>
      <c r="G5" s="12">
        <f t="shared" ref="G5:G9" si="5">(G$3*SIN(A5))*(G$3*SIN(A5))/2</f>
        <v>195.24129804151565</v>
      </c>
      <c r="K5" s="103"/>
      <c r="L5" s="103"/>
      <c r="M5" s="103"/>
      <c r="N5" s="103"/>
      <c r="O5" s="103"/>
    </row>
    <row r="6" spans="1:16" x14ac:dyDescent="0.2">
      <c r="A6" s="11">
        <v>40</v>
      </c>
      <c r="B6" s="12">
        <f t="shared" si="0"/>
        <v>27.759681095976191</v>
      </c>
      <c r="C6" s="12">
        <f t="shared" si="1"/>
        <v>39.973940778205716</v>
      </c>
      <c r="D6" s="12">
        <f t="shared" si="2"/>
        <v>54.40897494811334</v>
      </c>
      <c r="E6" s="12">
        <f t="shared" si="3"/>
        <v>71.064783605699049</v>
      </c>
      <c r="F6" s="12">
        <f t="shared" si="4"/>
        <v>89.941366750962857</v>
      </c>
      <c r="G6" s="12">
        <f t="shared" si="5"/>
        <v>111.03872438390476</v>
      </c>
      <c r="K6" s="103"/>
      <c r="L6" s="103"/>
      <c r="M6" s="103"/>
      <c r="N6" s="103"/>
      <c r="O6" s="103"/>
    </row>
    <row r="7" spans="1:16" x14ac:dyDescent="0.2">
      <c r="A7" s="11">
        <v>50</v>
      </c>
      <c r="B7" s="12">
        <f t="shared" si="0"/>
        <v>3.4420281928079013</v>
      </c>
      <c r="C7" s="12">
        <f t="shared" si="1"/>
        <v>4.9565205976433777</v>
      </c>
      <c r="D7" s="12">
        <f t="shared" si="2"/>
        <v>6.7463752579034866</v>
      </c>
      <c r="E7" s="12">
        <f t="shared" si="3"/>
        <v>8.8115921735882274</v>
      </c>
      <c r="F7" s="12">
        <f t="shared" si="4"/>
        <v>11.152171344697599</v>
      </c>
      <c r="G7" s="12">
        <f t="shared" si="5"/>
        <v>13.768112771231605</v>
      </c>
      <c r="K7" s="103"/>
      <c r="L7" s="103"/>
      <c r="M7" s="103"/>
      <c r="N7" s="103"/>
      <c r="O7" s="103"/>
    </row>
    <row r="8" spans="1:16" x14ac:dyDescent="0.2">
      <c r="A8" s="11">
        <v>60</v>
      </c>
      <c r="B8" s="12">
        <f t="shared" si="0"/>
        <v>4.6454757368359543</v>
      </c>
      <c r="C8" s="12">
        <f t="shared" si="1"/>
        <v>6.6894850610437757</v>
      </c>
      <c r="D8" s="12">
        <f t="shared" si="2"/>
        <v>9.1051324441984729</v>
      </c>
      <c r="E8" s="12">
        <f t="shared" si="3"/>
        <v>11.892417886300045</v>
      </c>
      <c r="F8" s="12">
        <f t="shared" si="4"/>
        <v>15.051341387348494</v>
      </c>
      <c r="G8" s="12">
        <f t="shared" si="5"/>
        <v>18.581902947343817</v>
      </c>
    </row>
    <row r="9" spans="1:16" x14ac:dyDescent="0.2">
      <c r="A9" s="11">
        <v>70</v>
      </c>
      <c r="B9" s="12">
        <f t="shared" si="0"/>
        <v>29.945339350106703</v>
      </c>
      <c r="C9" s="12">
        <f t="shared" si="1"/>
        <v>43.12128866415366</v>
      </c>
      <c r="D9" s="12">
        <f t="shared" si="2"/>
        <v>58.692865126209142</v>
      </c>
      <c r="E9" s="12">
        <f t="shared" si="3"/>
        <v>76.660068736273161</v>
      </c>
      <c r="F9" s="12">
        <f t="shared" si="4"/>
        <v>97.022899494345722</v>
      </c>
      <c r="G9" s="12">
        <f t="shared" si="5"/>
        <v>119.78135740042681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Grafiki</vt:lpstr>
      <vt:lpstr>Jogurts</vt:lpstr>
      <vt:lpstr>Skola</vt:lpstr>
      <vt:lpstr>Dati</vt:lpstr>
      <vt:lpstr>Pirkums</vt:lpstr>
      <vt:lpstr>Cenas</vt:lpstr>
      <vt:lpstr>Taisnleņķa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Barbara Bernāte</cp:lastModifiedBy>
  <cp:lastPrinted>2024-04-08T08:04:37Z</cp:lastPrinted>
  <dcterms:created xsi:type="dcterms:W3CDTF">2014-03-10T14:05:11Z</dcterms:created>
  <dcterms:modified xsi:type="dcterms:W3CDTF">2024-04-09T11:06:17Z</dcterms:modified>
</cp:coreProperties>
</file>